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Default Extension="emf" ContentType="image/x-emf"/>
  <Default Extension="wmf" ContentType="image/x-wmf"/>
  <Default Extension="emz" ContentType="image/x-emz"/>
  <Default Extension="wmz" ContentType="image/x-wmz"/>
  <Default Extension="jpeg" ContentType="image/jpeg"/>
  <Default Extension="png" ContentType="image/png"/>
  <Default Extension="gif" ContentType="image/gif"/>
  <Default Extension="tiff" ContentType="image/tiff"/>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素材资产库"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DengXian"/>
      <family val="2"/>
    </font>
    <font>
      <sz val="10"/>
      <color/>
      <name val="Calibri"/>
      <family val="2"/>
    </font>
    <font>
      <u val="single"/>
      <sz val="11"/>
      <color rgb="FF0000FF"/>
      <name val="DengXian"/>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true">
      <alignment vertical="center"/>
    </xf>
    <xf numFmtId="0" fontId="2" fillId="0" borderId="0" xfId="0" applyFon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customWidth="true" max="14" min="1" width="19"/>
  </cols>
  <sheetData>
    <row r="1" ht="13" customHeight="true">
      <c r="A1" s="1" t="inlineStr">
        <is>
          <t>素材编号</t>
        </is>
      </c>
      <c r="B1" s="1" t="inlineStr">
        <is>
          <t>素材类型</t>
        </is>
      </c>
      <c r="C1" s="1" t="inlineStr">
        <is>
          <t>素材图片</t>
        </is>
      </c>
      <c r="D1" s="1" t="inlineStr">
        <is>
          <t>图片URL</t>
        </is>
      </c>
      <c r="E1" s="1" t="inlineStr">
        <is>
          <t>适用品类</t>
        </is>
      </c>
      <c r="F1" s="1" t="inlineStr">
        <is>
          <t>营销节点</t>
        </is>
      </c>
      <c r="G1" s="1" t="inlineStr">
        <is>
          <t>风格</t>
        </is>
      </c>
      <c r="H1" s="1" t="inlineStr">
        <is>
          <t>情绪</t>
        </is>
      </c>
      <c r="I1" s="1" t="inlineStr">
        <is>
          <t>优点</t>
        </is>
      </c>
      <c r="J1" s="1" t="inlineStr">
        <is>
          <t>可参考</t>
        </is>
      </c>
      <c r="K1" s="1" t="inlineStr">
        <is>
          <t>不可参考</t>
        </is>
      </c>
      <c r="L1" s="1" t="inlineStr">
        <is>
          <t>参考描述</t>
        </is>
      </c>
      <c r="M1" s="1" t="inlineStr">
        <is>
          <t>设计师评分</t>
        </is>
      </c>
      <c r="N1" s="1" t="inlineStr">
        <is>
          <t>使用次数</t>
        </is>
      </c>
    </row>
    <row r="2" ht="25.5" customHeight="true">
      <c r="A2" t="inlineStr">
        <is>
          <t>CKT-1</t>
        </is>
      </c>
      <c r="B2" t="inlineStr">
        <is>
          <t>字体</t>
        </is>
      </c>
      <c r="C2" t="inlineStr">
        <is>
          <t>image.png</t>
        </is>
      </c>
      <c r="D2" s="2" t="str">
        <f>=HYPERLINK("https://p3-piu.byteimg.com/tos-cn-i-8jisjyls3a/42d955368f97470c9cff5f8a1056616b~tplv-8jisjyls3a-3:0:0:q75.png", "https://p3-piu.byteimg.com/tos-cn-i-8jisjyls3a/42d955368f97470c9cff5f8a1056616b~tplv-8jisjyls3a-3:0:0:q75.png")</f>
        <v>https://p3-piu.byteimg.com/tos-cn-i-8jisjyls3a/42d955368f97470c9cff5f8a1056616b~tplv-8jisjyls3a-3:0:0:q75.png</v>
      </c>
      <c r="E2" t="inlineStr">
        <is>
          <t>街头潮牌、城市文旅、潮流探店、汽车、城市纪实栏目、潮玩、户外街头服饰、城市摄影</t>
        </is>
      </c>
      <c r="F2" t="inlineStr">
        <is>
          <t>城市限定企划、潮玩新品发售、城市街头快闪、城市生活节、潮流栏目上新、城市主题联名活动</t>
        </is>
      </c>
      <c r="G2" t="inlineStr">
        <is>
          <t>硬核块状切割黑体、工业街头风、高对比黑白、粗力量平面 POP 字体</t>
        </is>
      </c>
      <c r="H2" t="inlineStr">
        <is>
          <t>热血、潮流、先锋、城市躁动、街头活力、硬核个性</t>
        </is>
      </c>
      <c r="I2" t="inlineStr">
        <is>
          <t>粗切割方块字视觉压迫感强，中英层级清晰，硬朗边角契合街头潮流属性，一眼区分普通柔和黑体，记忆点极强</t>
        </is>
      </c>
      <c r="J2" t="inlineStr">
        <is>
          <t>主次中英文字层级排布、不规则斜切字体强化潮流属性、纯黑底突出粗字力量感</t>
        </is>
      </c>
      <c r="K2" t="inlineStr">
        <is>
          <t>轻奢女装、母婴、文艺香氛、温柔家居等柔和调性品类；字体厚重拥挤，不适合多文字叠加的详情页</t>
        </is>
      </c>
      <c r="L2" t="inlineStr">
        <is>
          <t>字体特征
中文：粗厚方块力量黑体，切割硬朗不规则斜切边角，块状几何字，笔画等粗、厚重压场，街头潮流工业风；
英文：配套同款粗方块无衬线字体，字重统一，层级在下缩小排布；
色彩 &amp; 质感：纯白实心字，纯哑光黑底，无渐变无浮雕，平面矢量硬边；
排版：中文大字居中主视觉，英文小字居中文正下方，宽屏横向构图；
适配 KV 场景：城市潮流短片标题、街头艺术展、城市纪实栏目主视觉、潮玩活动海报、街头摄影封面。</t>
        </is>
      </c>
    </row>
    <row r="3" ht="25.5" customHeight="true">
      <c r="A3" t="inlineStr">
        <is>
          <t>CKT-2</t>
        </is>
      </c>
      <c r="B3" t="inlineStr">
        <is>
          <t>字体</t>
        </is>
      </c>
      <c r="C3" t="inlineStr">
        <is>
          <t>image.png</t>
        </is>
      </c>
      <c r="D3" s="2" t="str">
        <f>=HYPERLINK("https://p3-piu.byteimg.com/tos-cn-i-8jisjyls3a/78b3c24cb2664bf3883bf045706f8a9a~tplv-8jisjyls3a-3:0:0:q75.png", "https://p3-piu.byteimg.com/tos-cn-i-8jisjyls3a/78b3c24cb2664bf3883bf045706f8a9a~tplv-8jisjyls3a-3:0:0:q75.png")</f>
        <v>https://p3-piu.byteimg.com/tos-cn-i-8jisjyls3a/78b3c24cb2664bf3883bf045706f8a9a~tplv-8jisjyls3a-3:0:0:q75.png</v>
      </c>
      <c r="E3" t="inlineStr">
        <is>
          <t>高端女装、轻奢时装、设计师服饰、珠宝银饰、高级穿搭栏目、婚纱高定、精致配饰</t>
        </is>
      </c>
      <c r="F3" t="inlineStr">
        <is>
          <t>高定新品发布、时装周专题、轻奢品牌日、设计师联名、高级穿搭内容专栏、线下时装展</t>
        </is>
      </c>
      <c r="G3" t="inlineStr">
        <is>
          <t>金属拉丝立体纤细宋体、冷调轻奢、极简黑白高级时装大片、锋利几何衬线</t>
        </is>
      </c>
      <c r="H3" t="inlineStr">
        <is>
          <t>精致、冷感高级、贵气、克制优雅、专业时装质感</t>
        </is>
      </c>
      <c r="I3" t="inlineStr">
        <is>
          <t>细如银针的锋利衬线完美贴合服饰 / 珠宝精致属性，金属立体字提升奢华感，竖排排版自带时装杂志高级感</t>
        </is>
      </c>
      <c r="J3" t="inlineStr">
        <is>
          <t>细长几何衬线字体塑造精致轻奢感、拉丝银金属立体字效、上下两行竖版标题排版</t>
        </is>
      </c>
      <c r="K3" t="inlineStr">
        <is>
          <t>平价快时尚、零食商超、母婴、街头潮玩；字体笔画极细，小尺寸易拉宝、信息流缩略图容易糊、识别弱</t>
        </is>
      </c>
      <c r="L3" t="inlineStr">
        <is>
          <t>字体特征
极致纤细立体金属衬线宋体，笔画细如银针，棱角尖锐锋利，几何切割竖长字形，金属拉丝银立体浮雕质感，轻奢高级冷感；
色彩 &amp; 质感：拉丝银金属立体字，纯黑哑光背景，细微金属高光明暗层次；
排版：上下两行竖长排布，“银针” 上、“服饰指南” 下，居中竖版文字组；
适配 KV 场景：高级服装栏目、轻奢服饰杂志封面、时装短片标题、设计师品牌宣传 KV、高级穿搭纪录片片头。</t>
        </is>
      </c>
    </row>
    <row r="4" ht="25.5" customHeight="true">
      <c r="A4" t="inlineStr">
        <is>
          <t>CKT-3</t>
        </is>
      </c>
      <c r="B4" t="inlineStr">
        <is>
          <t>字体</t>
        </is>
      </c>
      <c r="C4" t="inlineStr">
        <is>
          <t>image.png</t>
        </is>
      </c>
      <c r="D4" s="2" t="str">
        <f>=HYPERLINK("https://p6-piu.byteimg.com/tos-cn-i-8jisjyls3a/6c826f58b5f249689c2f99b5916579ee~tplv-8jisjyls3a-3:0:0:q75.png", "https://p6-piu.byteimg.com/tos-cn-i-8jisjyls3a/6c826f58b5f249689c2f99b5916579ee~tplv-8jisjyls3a-3:0:0:q75.png")</f>
        <v>https://p6-piu.byteimg.com/tos-cn-i-8jisjyls3a/6c826f58b5f249689c2f99b5916579ee~tplv-8jisjyls3a-3:0:0:q75.png</v>
      </c>
      <c r="E4" t="inlineStr">
        <is>
          <t>艺术摄影、家居软装、画廊画展、轻奢服饰、相机影像、文旅美学、香氛艺术</t>
        </is>
      </c>
      <c r="F4" t="inlineStr">
        <is>
          <t>新品艺术展、设计师联名款、品牌美学短片、周年艺术企划、线下艺术快闪、文艺向内容专栏封面</t>
        </is>
      </c>
      <c r="G4" t="inlineStr">
        <is>
          <t>极简黑白电影片头、纤细中式衬线宋体、低饱和高级纪实、文艺克制胶片风</t>
        </is>
      </c>
      <c r="H4" t="inlineStr">
        <is>
          <t>静谧、文艺、高级、氛围感、治愈、美学沉浸</t>
        </is>
      </c>
      <c r="I4" t="inlineStr">
        <is>
          <t>纤细尖角宋体自带艺术滤镜，纯黑白极简弱化营销感，提升品牌质感，适合做栏目片头、品牌形象片标题，拉开和大众促销风物料的差异化</t>
        </is>
      </c>
      <c r="J4" t="inlineStr">
        <is>
          <t>修长衬线字体塑造高级文艺调性、宽屏电影级标题排版，适合品牌形象向物料</t>
        </is>
      </c>
      <c r="K4" t="inlineStr">
        <is>
          <t>大促狂欢类活动、母婴 / 零食平价快消、需要强视觉冲击力的促销海报；文字纤细，小尺寸移动端弹窗可读性差</t>
        </is>
      </c>
      <c r="L4" t="inlineStr">
        <is>
          <t>字体特征：中式纤细衬线书法宋体，尖锐修长衬线，笔画末端大量飘逸拉长尖角，横竖粗细对比极强，带流动曲线笔触，优雅文艺、冷调高级感；
色彩：纯白文字 + 纯黑哑光纯色背景，高对比度极简黑白；
排版：横向错落字重排布，文字轻微错落倾斜，无多余装饰，干净电影片头质感；
氛围：文艺纪实、艺术影像、胶片摄影、美术馆 / 印象派画展、短片标题 KV，克制高级、清冷氛围感。</t>
        </is>
      </c>
    </row>
    <row r="5" ht="25.5" customHeight="true">
      <c r="A5" t="inlineStr">
        <is>
          <t>CKT-4</t>
        </is>
      </c>
      <c r="B5" t="inlineStr">
        <is>
          <t>字体</t>
        </is>
      </c>
      <c r="C5" t="inlineStr">
        <is>
          <t>image.png</t>
        </is>
      </c>
      <c r="D5" s="2" t="str">
        <f>=HYPERLINK("https://p9-piu.byteimg.com/tos-cn-i-8jisjyls3a/e3876ee61d75411fbc6a072591c03bfa~tplv-8jisjyls3a-3:0:0:q75.png", "https://p9-piu.byteimg.com/tos-cn-i-8jisjyls3a/e3876ee61d75411fbc6a072591c03bfa~tplv-8jisjyls3a-3:0:0:q75.png")</f>
        <v>https://p9-piu.byteimg.com/tos-cn-i-8jisjyls3a/e3876ee61d75411fbc6a072591c03bfa~tplv-8jisjyls3a-3:0:0:q75.png</v>
      </c>
      <c r="E5" t="inlineStr">
        <is>
          <t>家居日用、母婴、宠物、轻食零食、居家生活好物、市集活动、生活自媒体、亲子好物、露营生活</t>
        </is>
      </c>
      <c r="F5" t="inlineStr">
        <is>
          <t>生活好物上新、春日居家市集、亲子生活节、家居焕新、轻生活专栏改版、日常种草信息流</t>
        </is>
      </c>
      <c r="G5" t="inlineStr">
        <is>
          <t>圆润手绘泡泡涂鸦字体、低饱和浅底、治愈软萌、松弛生活化、扁平化手绘</t>
        </is>
      </c>
      <c r="H5" t="inlineStr">
        <is>
          <t>松弛、治愈、可爱、轻松、生活化、无压力种草</t>
        </is>
      </c>
      <c r="I5" t="inlineStr">
        <is>
          <t>全圆角无棱角字体弱化营销攻击性，随性错落排版贴近日常 vlog 氛围，低饱和浅底色视觉柔和，适配长期日常种草内容</t>
        </is>
      </c>
      <c r="J5" t="inlineStr">
        <is>
          <t>圆润无尖角手绘字体、浅米白干净底色、松散随性排版打造松弛生活感</t>
        </is>
      </c>
      <c r="K5" t="inlineStr">
        <is>
          <t>高端奢品、硬核数码、街头潮牌、严肃纪实栏目；风格偏软萌，不适合需要专业、先锋调性的品牌</t>
        </is>
      </c>
      <c r="L5" t="inlineStr">
        <is>
          <t>字体特征
圆润泡泡手写卡通字体，笔画全部粗圆无尖角，软乎乎涂鸦手绘感，自由错落随性排版，可爱松弛生活化；
色彩 &amp; 质感：实心底色克莱因蓝字体，浅米白纯色背景，平面平涂无阴影，软萌手绘质感；
排版：文字横向错落随性排布，3.0 小字依附右上角，松散活泼不规整；
适配 KV 场景：生活类自媒体 logo、亲子 / 家居生活栏目、治愈系 vlog 封面、线下生活市集海报、轻生活小红书主图。</t>
        </is>
      </c>
    </row>
    <row r="6" ht="25.5" customHeight="true">
      <c r="A6" t="inlineStr">
        <is>
          <t>CKT-5</t>
        </is>
      </c>
      <c r="B6" t="inlineStr">
        <is>
          <t>字体</t>
        </is>
      </c>
      <c r="C6" t="inlineStr">
        <is>
          <t>image.png</t>
        </is>
      </c>
      <c r="D6" s="2" t="str">
        <f>=HYPERLINK("https://p6-piu.byteimg.com/tos-cn-i-8jisjyls3a/3d60621c409e4937ba198846190cceca~tplv-8jisjyls3a-3:0:0:q75.png", "https://p6-piu.byteimg.com/tos-cn-i-8jisjyls3a/3d60621c409e4937ba198846190cceca~tplv-8jisjyls3a-3:0:0:q75.png")</f>
        <v>https://p6-piu.byteimg.com/tos-cn-i-8jisjyls3a/3d60621c409e4937ba198846190cceca~tplv-8jisjyls3a-3:0:0:q75.png</v>
      </c>
      <c r="E6" t="inlineStr">
        <is>
          <t>全球时尚、潮流数码、户外运动、国际美妆、潮流文化栏目、跨境穿搭、潮玩集合店</t>
        </is>
      </c>
      <c r="F6" t="inlineStr">
        <is>
          <t>全球新品季、跨境潮品大促、潮流文化展、国际时装专题、品牌全球企划、潮流内容专栏</t>
        </is>
      </c>
      <c r="G6" t="inlineStr">
        <is>
          <t>粗方正磨砂肌理黑体、水泥颗粒质感、大气稳重极简黑白、现代国风潮流字</t>
        </is>
      </c>
      <c r="H6" t="inlineStr">
        <is>
          <t>大气、潮流、开阔、专业、沉稳有格局</t>
        </is>
      </c>
      <c r="I6" t="inlineStr">
        <is>
          <t>厚重方正字体自带格局感，细微水泥颗粒增加复古肌理，单行长排标题简洁大气，适配 “全球、地图、潮流” 宏大主题</t>
        </is>
      </c>
      <c r="J6" t="inlineStr">
        <is>
          <t>带细微肌理的粗黑体、单行均匀字距居中排版、低浮雕微弱立体字效提升质感</t>
        </is>
      </c>
      <c r="K6" t="inlineStr">
        <is>
          <t>精致轻奢小件、母婴软萌品类；字体厚重偏硬朗，柔和家居、少女美妆使用会违和</t>
        </is>
      </c>
      <c r="L6" t="inlineStr">
        <is>
          <t>字体特征
方正粗平黑体，笔画平整厚实，边角微斜切，带细微水泥颗粒肌理，厚重稳重大气，简约国风潮流黑体；
色彩 &amp; 质感：浅灰白色带细微磨砂水泥颗粒质感，纯黑背景，浅浮雕微弱凹凸肌理；
排版：单行横向居中大字，均匀字距，规整稳重；
适配 KV 场景：潮流文化纪录片、全球时尚栏目、城市潮流展会主视觉、文化类长视频封面。</t>
        </is>
      </c>
    </row>
    <row r="7" ht="25.5" customHeight="true">
      <c r="A7" t="inlineStr">
        <is>
          <t>CKT-6</t>
        </is>
      </c>
      <c r="B7" t="inlineStr">
        <is>
          <t>字体</t>
        </is>
      </c>
      <c r="C7" t="inlineStr">
        <is>
          <t>image.png</t>
        </is>
      </c>
      <c r="D7" s="2" t="str">
        <f>=HYPERLINK("https://p6-piu.byteimg.com/tos-cn-i-8jisjyls3a/59deb16871b0460aa2076d2a93182ceb~tplv-8jisjyls3a-3:0:0:q75.png", "https://p6-piu.byteimg.com/tos-cn-i-8jisjyls3a/59deb16871b0460aa2076d2a93182ceb~tplv-8jisjyls3a-3:0:0:q75.png")</f>
        <v>https://p6-piu.byteimg.com/tos-cn-i-8jisjyls3a/59deb16871b0460aa2076d2a93182ceb~tplv-8jisjyls3a-3:0:0:q75.png</v>
      </c>
      <c r="E7" t="inlineStr">
        <is>
          <t>厨电、智能家居、厨房小家电、数码家电、美食测评栏目、餐厨软装、智能生活好物</t>
        </is>
      </c>
      <c r="F7" t="inlineStr">
        <is>
          <t>家电焕新季、家装节、厨房新品发布、智能家电品牌日、美食数码专栏上新、家装线下展会</t>
        </is>
      </c>
      <c r="G7" t="inlineStr">
        <is>
          <t>圆角倒角圆润粗黑体、现代简约科技风、干净平面黑白、温和工业无衬线</t>
        </is>
      </c>
      <c r="H7" t="inlineStr">
        <is>
          <t>舒适、科技温和、治愈居家、安心、简约现代</t>
        </is>
      </c>
      <c r="I7" t="inlineStr">
        <is>
          <t>粗体保证识别度，全部边角圆弧倒角弱化冰冷工业感，平衡科技与居家温暖，中英主次层级清晰，适配家电家居双赛道</t>
        </is>
      </c>
      <c r="J7" t="inlineStr">
        <is>
          <t>圆弧倒角粗黑体中和工业硬朗感、中文分行 + 侧边小字英文的层级排版、纯黑白干净背景适配家电高级感</t>
        </is>
      </c>
      <c r="K7" t="inlineStr">
        <is>
          <t>街头潮牌、高定奢品、软萌母婴；字体规整稳重，不适合需要个性、可爱、先锋视觉的活动</t>
        </is>
      </c>
      <c r="L7" t="inlineStr">
        <is>
          <t>字体核心特征
中文：方正圆润粗无衬线黑体，笔画均匀厚实，边角做圆弧倒角处理，无尖锐棱角；字形宽扁舒展，笔画内部留白方正干净，现代简约工业科技感，柔和不生硬。
英文：配套细款等线无衬线体「Tech Kitchen」，字重更轻，作为次级辅助文字，层级弱于中文主标题。
2. 色彩与质感
纯白实心平面字，无渐变、浮雕、肌理；纯哑光黑色纯色背景，极致黑白高对比，干净矢量 2D 效果，无多余光影。
3. 排版结构
两行中文主标题分上下排布：上行「向往的」，下行「电子厨房」；英文小字放置在「向往的」右侧，形成主次层级，整体居中平衡构图，宽屏 16:9 画幅。
4. 适配 KV 场景
家电科技栏目主视觉、智能厨电纪录片片头、厨房数码测评自媒体封面、智能家居展会宣传海报、厨房好物短视频标题卡。</t>
        </is>
      </c>
    </row>
    <row r="8" ht="25.5" customHeight="true">
      <c r="A8" t="inlineStr">
        <is>
          <t>CKT-7</t>
        </is>
      </c>
      <c r="B8" t="inlineStr">
        <is>
          <t>字体</t>
        </is>
      </c>
      <c r="C8" t="inlineStr">
        <is>
          <t>image.png</t>
        </is>
      </c>
      <c r="D8" s="2" t="str">
        <f>=HYPERLINK("https://p9-piu.byteimg.com/tos-cn-i-8jisjyls3a/b5ff01c9efa94c03a2e7f829ca996ac5~tplv-8jisjyls3a-3:0:0:q75.png", "https://p9-piu.byteimg.com/tos-cn-i-8jisjyls3a/b5ff01c9efa94c03a2e7f829ca996ac5~tplv-8jisjyls3a-3:0:0:q75.png")</f>
        <v>https://p9-piu.byteimg.com/tos-cn-i-8jisjyls3a/b5ff01c9efa94c03a2e7f829ca996ac5~tplv-8jisjyls3a-3:0:0:q75.png</v>
      </c>
      <c r="E8" t="inlineStr">
        <is>
          <t>潮流服饰、美式复古穿搭、美妆彩妆、潮玩、街头配饰、时尚媒体、跨境潮流单品、设计师潮牌、潮流探店栏目</t>
        </is>
      </c>
      <c r="F8" t="inlineStr">
        <is>
          <t>潮流新品上新、复古主题企划、时装周专题、潮牌限定发售、街头文化展、品牌潮流日、时尚内容专栏改版</t>
        </is>
      </c>
      <c r="G8" t="inlineStr">
        <is>
          <t>美式复古倾斜粗衬线英文、半调网点印刷肌理、极简浅灰底、杂志刊头版式、高辨识度复古街头风</t>
        </is>
      </c>
      <c r="H8" t="inlineStr">
        <is>
          <t>先锋潮流、复古时髦、高级街头、时髦先锋、潮流引领感</t>
        </is>
      </c>
      <c r="I8" t="inlineStr">
        <is>
          <t>倾斜拉长英文自带动态时髦感，网点半调肌理还原复古印刷质感，英文主视觉 + 弱化小字中文的主次排版契合海外潮流杂志版式，辨识度强，区别常规黑体标题，自带媒体专业调性。</t>
        </is>
      </c>
      <c r="J8" t="inlineStr">
        <is>
          <t>倾斜动感衬线英文作为视觉核心、网点肌理增加复古印刷层次、中文副标题弱化灰度处理、长条横向刊头式排版。</t>
        </is>
      </c>
      <c r="K8" t="inlineStr">
        <is>
          <t>母婴、居家温柔好物、轻奢高定、家电数码等柔和 / 硬核工业赛道；美式复古风格适配性窄，不适合平价快消大促、国风主题活动；细灰度小字中文在小尺寸信息流缩略图可读性弱。</t>
        </is>
      </c>
      <c r="L8" t="inlineStr">
        <is>
          <t>字体特征
英文：倾斜粗衬线复古美式字体，字内布满细密网点半调纹理，拉长倾斜动感；
中文：细灰简约黑体，层级弱化放在英文右侧；
色彩 &amp; 质感：黑色网点纹理英文，浅灰中文，浅灰白极简底色，平面印刷网点复古质感；
排版：英文大字左主视觉，中文小字竖排依附英文右侧，横向长版式；
适配 KV 场景：时尚杂志刊头、美式潮流栏目、穿搭博主品牌 LOGO、复古街头时尚海报、潮流媒体主视觉。</t>
        </is>
      </c>
    </row>
    <row r="9" ht="25.5" customHeight="true">
      <c r="A9" t="inlineStr">
        <is>
          <t>CKT-8</t>
        </is>
      </c>
      <c r="B9" t="inlineStr">
        <is>
          <t>构图</t>
        </is>
      </c>
      <c r="C9" t="inlineStr">
        <is>
          <t>image 1636407495.png</t>
        </is>
      </c>
      <c r="D9" s="2" t="str">
        <f>=HYPERLINK("https://p9-piu.byteimg.com/tos-cn-i-8jisjyls3a/9be5a9a061b14c7ca04eb73dab160d10~tplv-8jisjyls3a-3:0:0:q75.png", "https://p9-piu.byteimg.com/tos-cn-i-8jisjyls3a/9be5a9a061b14c7ca04eb73dab160d10~tplv-8jisjyls3a-3:0:0:q75.png")</f>
        <v>https://p9-piu.byteimg.com/tos-cn-i-8jisjyls3a/9be5a9a061b14c7ca04eb73dab160d10~tplv-8jisjyls3a-3:0:0:q75.png</v>
      </c>
      <c r="E9" t="inlineStr">
        <is>
          <t>生鲜水产、预制菜、夜宵美食、线下商超熟食、麻辣速食</t>
        </is>
      </c>
      <c r="F9" t="inlineStr">
        <is>
          <t>小龙虾上新季、春夏美食节、周末夜宵促销、超市单品爆品推广、夏季 618 生鲜分会场</t>
        </is>
      </c>
      <c r="G9" t="inlineStr">
        <is>
          <t>写实 3D 美食大片、高饱和暖红 POP 商业风、垂直竖版信息流海报、食材飞溅动态构图</t>
        </is>
      </c>
      <c r="H9" t="inlineStr">
        <is>
          <t>热辣诱人、食欲冲击、实惠亲民、火爆热销</t>
        </is>
      </c>
      <c r="I9" t="inlineStr">
        <is>
          <t>1. 主体小龙虾居中放大，视觉重心极强，第一眼刺激食欲；2. 价格信息层级靠前，直接转化；3. 香料、汤汁飞溅元素强化新鲜热辣氛围感；4. 印章、手写标语多形式文案丰富画面，信息完整</t>
        </is>
      </c>
      <c r="J9" t="inlineStr">
        <is>
          <t>1. 生鲜单品竖版信息流构图逻辑；2. 食物动态飞溅、汤汁油滴增加鲜活感；3. 暖红渐变底色匹配麻辣生鲜品类；4. 多形态文案标签（顶部横幅、圆形印章、手写字体）分层承载卖点</t>
        </is>
      </c>
      <c r="K9" t="inlineStr">
        <is>
          <t>1. 清淡甜品、茶饮、低脂轻食品类；2. 极简高端品牌形象片，元素过多显喧闹；3. 横向宽屏片头 KV，竖版比例不适配；4. 高端私宴、轻奢餐饮宣传，市井促销感过重</t>
        </is>
      </c>
      <c r="L9" t="inlineStr">
        <is>
          <t>单品核心美食占据画面下半区，暖橙红渐变烘托麻辣氛围，汤汁、香料、虾体营造动态烟火气，分层排布价格、品质、口味卖点，适合线上种草、线下商超海报的单品转化型构图</t>
        </is>
      </c>
    </row>
    <row r="10" ht="25.5" customHeight="true">
      <c r="A10" t="inlineStr">
        <is>
          <t>CKT-9</t>
        </is>
      </c>
      <c r="B10" t="inlineStr">
        <is>
          <t>构图</t>
        </is>
      </c>
      <c r="C10" t="inlineStr">
        <is>
          <t>image 1636407496.png</t>
        </is>
      </c>
      <c r="D10" s="2" t="str">
        <f>=HYPERLINK("https://p6-piu.byteimg.com/tos-cn-i-8jisjyls3a/3179704f62684a309429b2ccf5e90b40~tplv-8jisjyls3a-3:0:0:q75.png", "https://p6-piu.byteimg.com/tos-cn-i-8jisjyls3a/3179704f62684a309429b2ccf5e90b40~tplv-8jisjyls3a-3:0:0:q75.png")</f>
        <v>https://p6-piu.byteimg.com/tos-cn-i-8jisjyls3a/3179704f62684a309429b2ccf5e90b40~tplv-8jisjyls3a-3:0:0:q75.png</v>
      </c>
      <c r="E10" t="inlineStr">
        <is>
          <t>零食小吃、全品类休闲食品、家常餐饮、美食 UGC 活动、烘焙甜品、水果饮品</t>
        </is>
      </c>
      <c r="F10" t="inlineStr">
        <is>
          <t>平台美食创作者赛事、美食内容征集活动、春日生活种草节、平台月度美食企划、小红书日常话题活动</t>
        </is>
      </c>
      <c r="G10" t="inlineStr">
        <is>
          <t>卡通 2D 插画风、明亮马卡龙高饱和、扁平童趣潮流、撞色活泼版式、趣味拟人 IP 为主视觉</t>
        </is>
      </c>
      <c r="H10" t="inlineStr">
        <is>
          <t>轻松趣味、年轻活泼、治愈好玩、参与感强</t>
        </is>
      </c>
      <c r="I10" t="inlineStr">
        <is>
          <t>1. 卡通企鹅 IP 作为视觉核心，降低营销感，拉近年轻用户；2. 零散美食元素环绕主体，丰富美食氛围；3. 活动主题大字置顶，活动时间、招募文案清晰；4. 浅黄明亮底色适配小红书年轻女性用户审美</t>
        </is>
      </c>
      <c r="J10" t="inlineStr">
        <is>
          <t>1. 美食平台赛事、UGC 征集类活动构图；2. 拟人卡通 IP 居中，小吃元素环绕点缀的散点式布局；3. 高明亮低对比柔和配色，适配小红书信息流；4. 主次文字分层，大标题 + 小字活动细则排版</t>
        </is>
      </c>
      <c r="K10" t="inlineStr">
        <is>
          <t>1. 正餐生鲜、重辣夜宵、高端餐饮品牌促销；2. 严肃商务美食展会、线下高端宴席宣传；3. 硬核 3D 写实美食物料，卡通手绘风格违和；4. 追求食欲冲击的单品带货海报，元素分散弱化产品</t>
        </is>
      </c>
      <c r="L10" t="inlineStr">
        <is>
          <t>竖版活动招募海报，卡通厨师企鹅居中 C 位，各类零食、水果、餐点零散环绕填充画面，明亮黄底营造轻松氛围，顶部放置活动主标题，左侧标注招募规则与活动周期，适合线上内容征集活动</t>
        </is>
      </c>
    </row>
    <row r="11" ht="25.5" customHeight="true">
      <c r="A11" t="inlineStr">
        <is>
          <t>CKT-10</t>
        </is>
      </c>
      <c r="B11" t="inlineStr">
        <is>
          <t>构图</t>
        </is>
      </c>
      <c r="C11" t="inlineStr">
        <is>
          <t>image 1636407497.png</t>
        </is>
      </c>
      <c r="D11" s="2" t="str">
        <f>=HYPERLINK("https://p6-piu.byteimg.com/tos-cn-i-8jisjyls3a/bfb5a875b10643d8b8213b40f03c0151~tplv-8jisjyls3a-3:0:0:q75.png", "https://p6-piu.byteimg.com/tos-cn-i-8jisjyls3a/bfb5a875b10643d8b8213b40f03c0151~tplv-8jisjyls3a-3:0:0:q75.png")</f>
        <v>https://p6-piu.byteimg.com/tos-cn-i-8jisjyls3a/bfb5a875b10643d8b8213b40f03c0151~tplv-8jisjyls3a-3:0:0:q75.png</v>
      </c>
      <c r="E11" t="inlineStr">
        <is>
          <t>茶饮、甜品、快餐速食、全品类休闲美食、零食、果汁饮品</t>
        </is>
      </c>
      <c r="F11" t="inlineStr">
        <is>
          <t>平台美食大促、618 美食分会场、线上美食购物节、夏季饮品上新、电商食品类目营销活动</t>
        </is>
      </c>
      <c r="G11" t="inlineStr">
        <is>
          <t>3D 轻拟物元宇宙风、明亮暖橙渐变、电脑窗口科技感、轻量化卡通食物建模、宽屏横向活动片头</t>
        </is>
      </c>
      <c r="H11" t="inlineStr">
        <is>
          <t>清爽元气、年轻潮流、线上购物愉悦、丰富多元</t>
        </is>
      </c>
      <c r="I11" t="inlineStr">
        <is>
          <t>1. 电脑窗口、弹窗交互元素贴合线上平台属性，强化 “线上逛美食” 概念；2. 中心大杯果汁作为视觉锚点，各类甜品小吃弹窗环绕，体现品类丰富；3. 横向宽屏适配短视频片头、活动首页 Banner；4. 低饱和度柔和橙黄，长时间观看不刺眼</t>
        </is>
      </c>
      <c r="J11" t="inlineStr">
        <is>
          <t>1. 线上电商美食节横向 Banner、短视频片头构图；2. 元宇宙弹窗式散点美食排布，凸显品类丰富度；3. 轻 3D 柔和食物建模，适配年轻线上用户；4. 右上角独立放置活动大标题，画面主体留给创意视觉</t>
        </is>
      </c>
      <c r="K11" t="inlineStr">
        <is>
          <t>1. 线下实体商超单品海报；2. 重油重辣夜宵、生鲜水产写实带货图；3. 国风、复古传统美食品牌宣传；4. 垂直长图信息流种草，横向比例不匹配</t>
        </is>
      </c>
      <c r="L11" t="inlineStr">
        <is>
          <t>宽屏平台活动主视觉，以电脑浏览器界面为创意载体，中心放大果汁饮品，蛋糕、冰块、薯条以弹窗小窗口环绕排布，暖橙渐变底色，右上角放置活动标题，适合短视频片头、首页活动横幅</t>
        </is>
      </c>
    </row>
    <row r="12" ht="25.5" customHeight="true">
      <c r="A12" t="inlineStr">
        <is>
          <t>CKT-11</t>
        </is>
      </c>
      <c r="B12" t="inlineStr">
        <is>
          <t>构图</t>
        </is>
      </c>
      <c r="C12" t="inlineStr">
        <is>
          <t>image 1636407507.png</t>
        </is>
      </c>
      <c r="D12" s="2" t="str">
        <f>=HYPERLINK("https://p6-piu.byteimg.com/tos-cn-i-8jisjyls3a/d8ce9ae651154f0592fac342e2a9e016~tplv-8jisjyls3a-3:0:0:q75.png", "https://p6-piu.byteimg.com/tos-cn-i-8jisjyls3a/d8ce9ae651154f0592fac342e2a9e016~tplv-8jisjyls3a-3:0:0:q75.png")</f>
        <v>https://p6-piu.byteimg.com/tos-cn-i-8jisjyls3a/d8ce9ae651154f0592fac342e2a9e016~tplv-8jisjyls3a-3:0:0:q75.png</v>
      </c>
      <c r="E12" t="inlineStr">
        <is>
          <t>麻辣速食、小龙虾、辣椒调味、辣味零食、川湘预制菜、火锅食材</t>
        </is>
      </c>
      <c r="F12" t="inlineStr">
        <is>
          <t>辣味品类超级品牌日、秋冬麻辣美食季、抖音商城食品大促、夜宵辣味专场、火锅新品活动</t>
        </is>
      </c>
      <c r="G12" t="inlineStr">
        <is>
          <t>写实 C4D 立体美食、暗调红黑赛博质感、横向宽屏商业 KV、虚化发光大字标题、水平分割对称构图</t>
        </is>
      </c>
      <c r="H12" t="inlineStr">
        <is>
          <t>火辣劲爆、热辣刺激、潮流高级、狂欢热销</t>
        </is>
      </c>
      <c r="I12" t="inlineStr">
        <is>
          <t>1. 红黑深色底色最大化突出红色食材，辣味氛围拉满；2. 小龙虾、辣椒、泡面横向一字排开，对称平衡，视觉舒展；3. 虚化发光艺术字标题弱化遮挡主体食物；4. 左下角辣度数值、火焰图标直观强化品类属性</t>
        </is>
      </c>
      <c r="J12" t="inlineStr">
        <is>
          <t>1. 辣味品类横向宽屏活动 KV、直播间背景图构图；2. 深色底衬托红色食材，强化味觉联想；3. 横向一字均衡排布多款核心爆品；4. 角落放置趣味数据化卖点（辣度 100%）增强记忆点</t>
        </is>
      </c>
      <c r="K12" t="inlineStr">
        <is>
          <t>1. 清淡甜品、冷萃茶饮、低脂轻食、母婴辅食；2. 竖版手机信息流种草图，横向画幅不适配；3. 清新治愈系生活美食栏目；4. 平价家常生鲜日常海报，暗调过于厚重</t>
        </is>
      </c>
      <c r="L12" t="inlineStr">
        <is>
          <t>横向辣味品类活动主视觉，暗红渐变底色，小龙虾、辣椒、火鸡面沿水平中线均匀排布，边缘散落调味、虾尾小元素，顶部虚化艺术字活动标题，左下角辣度可视化标签，适配抖音商城品类日首页、直播背景</t>
        </is>
      </c>
    </row>
    <row r="13" ht="25.5" customHeight="true">
      <c r="A13" t="inlineStr">
        <is>
          <t>CKT-12</t>
        </is>
      </c>
      <c r="B13" t="inlineStr">
        <is>
          <t>构图</t>
        </is>
      </c>
      <c r="C13" t="inlineStr">
        <is>
          <t>image 1636407508.png</t>
        </is>
      </c>
      <c r="D13" s="2" t="str">
        <f>=HYPERLINK("https://p9-piu.byteimg.com/tos-cn-i-8jisjyls3a/f22cb8ab928242dd8dee29e9b2b2f2e4~tplv-8jisjyls3a-3:0:0:q75.png", "https://p9-piu.byteimg.com/tos-cn-i-8jisjyls3a/f22cb8ab928242dd8dee29e9b2b2f2e4~tplv-8jisjyls3a-3:0:0:q75.png")</f>
        <v>https://p9-piu.byteimg.com/tos-cn-i-8jisjyls3a/f22cb8ab928242dd8dee29e9b2b2f2e4~tplv-8jisjyls3a-3:0:0:q75.png</v>
      </c>
      <c r="E13" t="inlineStr">
        <is>
          <t>全球多国料理、西餐、咖啡、特色小吃、餐饮科普栏目、美食文化展览</t>
        </is>
      </c>
      <c r="F13" t="inlineStr">
        <is>
          <t>美食文化线下展、美食科普专栏、世界风味专题企划、餐饮文化分享会、文旅美食专题</t>
        </is>
      </c>
      <c r="G13" t="inlineStr">
        <is>
          <t>复古拼贴艺术、高饱和明黄底色、解剖图解式版式、复古印刷贴图、多元复古插画混搭</t>
        </is>
      </c>
      <c r="H13" t="inlineStr">
        <is>
          <t>复古猎奇、文化丰富、专业科普、趣味探索</t>
        </is>
      </c>
      <c r="I13" t="inlineStr">
        <is>
          <t>1. 巨型舌头解剖图作为画面绝对中心，创意记忆点极强；2. 各国美食、餐具、餐牌以引线标注环绕，科普逻辑清晰；3. 拼贴复古印刷质感，区别普通商业美食海报，艺术感突出；4. 海量美食元素完整展现全球美食多元性</t>
        </is>
      </c>
      <c r="J13" t="inlineStr">
        <is>
          <t>1. 美食文化展、科普专栏、文旅美食专题构图；2. 图解引线式图文排版，兼顾视觉创意与科普信息；3. 复古拼贴混搭多种美食插画、复古标牌元素；4. 高饱和纯色底色承载密集细碎元素</t>
        </is>
      </c>
      <c r="K13" t="inlineStr">
        <is>
          <t>1. 电商带货、单品促销、线上大促活动；2. 年轻化短视频信息流海报，复古拼贴厚重复杂；3. 简洁干净的品牌形象短片；4. 单一品类单品宣传，元素杂乱无产品聚焦</t>
        </is>
      </c>
      <c r="L13" t="inlineStr">
        <is>
          <t>复古艺术科普海报，中心巨型舌头味觉分区图解，全球各国料理、餐具、餐厅标牌以引线一一对应标注，明黄底色铺满细碎复古美食贴图，适合线下美食文化展览、美食科普图文专栏</t>
        </is>
      </c>
    </row>
    <row r="14" ht="25.5" customHeight="true">
      <c r="A14" t="inlineStr">
        <is>
          <t>CKT-13</t>
        </is>
      </c>
      <c r="B14" t="inlineStr">
        <is>
          <t>构图</t>
        </is>
      </c>
      <c r="C14" t="inlineStr">
        <is>
          <t>image 1636407516.png</t>
        </is>
      </c>
      <c r="D14" s="2" t="str">
        <f>=HYPERLINK("https://p9-piu.byteimg.com/tos-cn-i-8jisjyls3a/5972c48e0b8242408dd1ad0f5df20f17~tplv-8jisjyls3a-3:0:0:q75.png", "https://p9-piu.byteimg.com/tos-cn-i-8jisjyls3a/5972c48e0b8242408dd1ad0f5df20f17~tplv-8jisjyls3a-3:0:0:q75.png")</f>
        <v>https://p9-piu.byteimg.com/tos-cn-i-8jisjyls3a/5972c48e0b8242408dd1ad0f5df20f17~tplv-8jisjyls3a-3:0:0:q75.png</v>
      </c>
      <c r="E14" t="inlineStr">
        <is>
          <t>情绪向文创、香氛、潮牌服饰、青年艺术展、精神治愈类产品</t>
        </is>
      </c>
      <c r="F14" t="inlineStr">
        <is>
          <t>青年艺术企划、新品情绪概念片、线下艺术快闪、品牌形象短片、小众设计师联名</t>
        </is>
      </c>
      <c r="G14" t="inlineStr">
        <is>
          <t>颗粒噪点平涂插画、梦幻马卡龙冷色调、抽象象征图形叙事、简约扁平化人物</t>
        </is>
      </c>
      <c r="H14" t="inlineStr">
        <is>
          <t>压抑释放、治愈放空、浪漫梦幻、情绪共鸣</t>
        </is>
      </c>
      <c r="I14" t="inlineStr">
        <is>
          <t>1. 用抽象星形图形做情绪视觉载体，叙事感强；2. 人物偏置左侧，右侧大面积图形留白透气；3. 噪点肌理提升手绘艺术质感，区别商业写实；4. 低饱和蓝调统一氛围，高级克制不喧闹</t>
        </is>
      </c>
      <c r="J14" t="inlineStr">
        <is>
          <t>1. 抽象情绪符号叙事构图；2. 人物局部出镜 + 大面积象征元素填充画面；3. 颗粒噪点复古插画质感；4. 浅纯色干净背景弱化商业营销感</t>
        </is>
      </c>
      <c r="K14" t="inlineStr">
        <is>
          <t>1. 生鲜美食、母婴辅食、平价快消带货海报；2. 大促狂欢类促销物料，氛围偏安静无冲击力；3. 硬核数码、家装建材工业品类；4. 需要清晰展示实物细节的单品主图</t>
        </is>
      </c>
      <c r="L14" t="inlineStr">
        <is>
          <t>人物半身置于画面左侧，口鼻处延伸出大量蓝色尖刺星形图形铺满右侧画面，浅蓝天蓝底色搭配粉白云朵、四角星光点缀，用抽象图形隐喻情绪，留白充足，适合概念向形象 KV</t>
        </is>
      </c>
    </row>
    <row r="15" ht="25.5" customHeight="true">
      <c r="A15" t="inlineStr">
        <is>
          <t>CKT-14</t>
        </is>
      </c>
      <c r="B15" t="inlineStr">
        <is>
          <t>构图</t>
        </is>
      </c>
      <c r="C15" t="inlineStr">
        <is>
          <t>image 1636407517.png</t>
        </is>
      </c>
      <c r="D15" s="2" t="str">
        <f>=HYPERLINK("https://p6-piu.byteimg.com/tos-cn-i-8jisjyls3a/ae18fd08bda34343936522a4d795ff32~tplv-8jisjyls3a-3:0:0:q75.png", "https://p6-piu.byteimg.com/tos-cn-i-8jisjyls3a/ae18fd08bda34343936522a4d795ff32~tplv-8jisjyls3a-3:0:0:q75.png")</f>
        <v>https://p6-piu.byteimg.com/tos-cn-i-8jisjyls3a/ae18fd08bda34343936522a4d795ff32~tplv-8jisjyls3a-3:0:0:q75.png</v>
      </c>
      <c r="E15" t="inlineStr">
        <is>
          <t>潮流设计工具、潮牌、艺术文创、设计赛事、街头服饰、视觉创意栏目</t>
        </is>
      </c>
      <c r="F15" t="inlineStr">
        <is>
          <t>潮流设计大赛、设计师新品发布、街头文化展、创意视觉专题、品牌潮流日</t>
        </is>
      </c>
      <c r="G15" t="inlineStr">
        <is>
          <t>复古手工拼贴、高饱和撞色、立体肌理几何图形、涂鸦手绘质感、解构字母排版</t>
        </is>
      </c>
      <c r="H15" t="inlineStr">
        <is>
          <t>先锋前卫、猎奇创意、潮流反叛、视觉冲击</t>
        </is>
      </c>
      <c r="I15" t="inlineStr">
        <is>
          <t>1. 将「WOW」拆解为独立几何色块，辨识度极高；2. 红底搭配蓝、粉、黄、灰多色强撞色，第一眼抓眼；3. 肌理混搭（水泥立体、水彩、条纹、火焰）层次丰富；4. 无多余留白，满版图形强化潮流先锋属性</t>
        </is>
      </c>
      <c r="J15" t="inlineStr">
        <is>
          <t>1. 解构字母作为主视觉的潮流海报；2. 多材质肌理拼贴混搭手法；3. 高饱和纯色底色承载不规则几何元素；4. 竖版满版潮流版式适配小红书信息流</t>
        </is>
      </c>
      <c r="K15" t="inlineStr">
        <is>
          <t>1. 轻奢护肤、高定服饰、家居家纺等柔和雅致品类；2. 政务、教育、母婴温和向宣传物料；3. 极简高端品牌形象片，元素杂乱破坏高级感；4. 食品生鲜带货，视觉过于抽象弱化食欲</t>
        </is>
      </c>
      <c r="L15" t="inlineStr">
        <is>
          <t>竖版满版构图，以红色为基底，把 WOW 拆解成独立异形几何块分布画面，融合立体石膏、水彩椭圆、粉棕竖条、火焰手绘等多种肌理图形，元素错落排布无规整对齐，潮流解构风</t>
        </is>
      </c>
    </row>
    <row r="16" ht="25.5" customHeight="true">
      <c r="A16" t="inlineStr">
        <is>
          <t>CKT-15</t>
        </is>
      </c>
      <c r="B16" t="inlineStr">
        <is>
          <t>构图</t>
        </is>
      </c>
      <c r="C16" t="inlineStr">
        <is>
          <t>image 1636407518.png</t>
        </is>
      </c>
      <c r="D16" s="2" t="str">
        <f>=HYPERLINK("https://p3-piu.byteimg.com/tos-cn-i-8jisjyls3a/cd3abb65da13496b973ccc25eab5cb0b~tplv-8jisjyls3a-3:0:0:q75.png", "https://p3-piu.byteimg.com/tos-cn-i-8jisjyls3a/cd3abb65da13496b973ccc25eab5cb0b~tplv-8jisjyls3a-3:0:0:q75.png")</f>
        <v>https://p3-piu.byteimg.com/tos-cn-i-8jisjyls3a/cd3abb65da13496b973ccc25eab5cb0b~tplv-8jisjyls3a-3:0:0:q75.png</v>
      </c>
      <c r="E16" t="inlineStr">
        <is>
          <t>平台设计工具、潮流穿搭、短视频创作、美妆、青年生活方式</t>
        </is>
      </c>
      <c r="F16" t="inlineStr">
        <is>
          <t>平台设计趋势发布会、年度风格企划、创作者沙龙、春夏潮流上新、设计工具新版本上线</t>
        </is>
      </c>
      <c r="G16" t="inlineStr">
        <is>
          <t>模块化分栏拼贴、马卡龙低饱和撞色、网点印刷肌理、像素小方块装饰、信息分区排版</t>
        </is>
      </c>
      <c r="H16" t="inlineStr">
        <is>
          <t>多元包容、轻松实验、潮流探索、年轻活力</t>
        </is>
      </c>
      <c r="I16" t="inlineStr">
        <is>
          <t>1. 多色块分区模块化布局，文字、图形、年份信息分区清晰；2. 几何软形 + 网点肌理兼具潮流与柔和感；3. 底部预留文字信息区，兼顾创意与信息承载；4. 年份时间轴强化企划周期，适合线下活动展板</t>
        </is>
      </c>
      <c r="J16" t="inlineStr">
        <is>
          <t>1. 模块化分块信息海报构图；2. 软轮廓不规则几何色块分割画面；3. 网点半调复古印刷肌理；4. 图文分区分离，创意图形在上、活动文案在下</t>
        </is>
      </c>
      <c r="K16" t="inlineStr">
        <is>
          <t>1. 单一单品电商带货主图，分块分散视觉焦点；2. 硬核重工业、高端商务奢品宣传；3. 极简电影片头 KV，分割区块破坏画面整体性；4. 辣味、生鲜等强食欲向美食海报</t>
        </is>
      </c>
      <c r="L16" t="inlineStr">
        <is>
          <t>竖版上下分层模块化构图，画面由绿、红、蓝、粉多块不规则软几何色块拼接而成，每块承载独立装饰图形，底部统一放置活动标题、时间、签名文案，像素小方块做边角点缀，适合线下展板、活动长图</t>
        </is>
      </c>
    </row>
    <row r="17" ht="25.5" customHeight="true">
      <c r="A17" t="inlineStr">
        <is>
          <t>CKT-16</t>
        </is>
      </c>
      <c r="B17" t="inlineStr">
        <is>
          <t>构图</t>
        </is>
      </c>
      <c r="C17" t="inlineStr">
        <is>
          <t>image 1636407523.png</t>
        </is>
      </c>
      <c r="D17" s="2" t="str">
        <f>=HYPERLINK("https://p3-piu.byteimg.com/tos-cn-i-8jisjyls3a/90ec3e3303d249e58e5291ddddb9c645~tplv-8jisjyls3a-3:0:0:q75.png", "https://p3-piu.byteimg.com/tos-cn-i-8jisjyls3a/90ec3e3303d249e58e5291ddddb9c645~tplv-8jisjyls3a-3:0:0:q75.png")</f>
        <v>https://p3-piu.byteimg.com/tos-cn-i-8jisjyls3a/90ec3e3303d249e58e5291ddddb9c645~tplv-8jisjyls3a-3:0:0:q75.png</v>
      </c>
      <c r="E17" t="inlineStr">
        <is>
          <t>甜品烘焙、轻奢甜品礼盒、少女珠宝、下午茶、潮玩甜点周边</t>
        </is>
      </c>
      <c r="F17" t="inlineStr">
        <is>
          <t>甜品新品系列发售、情人节礼盒企划、下午茶主题活动、少女潮流好物上新、文创甜点联名</t>
        </is>
      </c>
      <c r="G17" t="inlineStr">
        <is>
          <t>扁平化潮流矢量、荧光高饱和亮色、珠宝 + 甜品创意融合、标注式产品图鉴版式</t>
        </is>
      </c>
      <c r="H17" t="inlineStr">
        <is>
          <t>甜美轻奢、新奇趣味、少女梦幻、精致高级</t>
        </is>
      </c>
      <c r="I17" t="inlineStr">
        <is>
          <t>1. 珠宝钻石造型与泡芙蛋糕创意结合，差异化记忆点极强；2. 椭圆色块隔离单品，多产品有序排布不杂乱；3. 编号、尺寸、中英文文案完整，兼具展示与说明；4. 荧光黄底色提升年轻潮流感，适配少女向赛道</t>
        </is>
      </c>
      <c r="J17" t="inlineStr">
        <is>
          <t>1. 系列多产品图鉴横向 KV 构图；2. 椭圆色块框选单品区分视觉单元；3. 跨品类创意图形融合设计；4. 产品参数 + 品名标注式图文排版</t>
        </is>
      </c>
      <c r="K17" t="inlineStr">
        <is>
          <t>1. 麻辣重口生鲜、中老年滋补食品；2. 工业家电、硬核数码、户外工装；3. 国风传统点心、中式糕点，西式潮流风格违和；4. 极简高端珠宝纯形象片，甜品元素削弱奢华感</t>
        </is>
      </c>
      <c r="L17" t="inlineStr">
        <is>
          <t>横向产品系列图鉴构图，荧光浅黄底色，4 款钻石造型甜点分别置于独立黄色椭圆内均匀分布，搭配四角星光、彩色圆点装饰，侧边标注品名、编号、尺寸参数，适合新品系列宣传 Banner</t>
        </is>
      </c>
    </row>
    <row r="18" ht="25.5" customHeight="true">
      <c r="A18" t="inlineStr">
        <is>
          <t>CKT-17</t>
        </is>
      </c>
      <c r="B18" t="inlineStr">
        <is>
          <t>构图</t>
        </is>
      </c>
      <c r="C18" t="inlineStr">
        <is>
          <t>image 1636407526.png</t>
        </is>
      </c>
      <c r="D18" s="2" t="str">
        <f>=HYPERLINK("https://p6-piu.byteimg.com/tos-cn-i-8jisjyls3a/debc8638da9041af8338b89c7525f57a~tplv-8jisjyls3a-3:0:0:q75.png", "https://p6-piu.byteimg.com/tos-cn-i-8jisjyls3a/debc8638da9041af8338b89c7525f57a~tplv-8jisjyls3a-3:0:0:q75.png")</f>
        <v>https://p6-piu.byteimg.com/tos-cn-i-8jisjyls3a/debc8638da9041af8338b89c7525f57a~tplv-8jisjyls3a-3:0:0:q75.png</v>
      </c>
      <c r="E18" t="inlineStr">
        <is>
          <t>家纺蚕丝、真丝床品、护肤蚕丝原料、睡眠寝具、天然有机洗护</t>
        </is>
      </c>
      <c r="F18" t="inlineStr">
        <is>
          <t>春夏寝具焕新、天然原料新品发布、睡眠节、家装软装季、有机护肤上新</t>
        </is>
      </c>
      <c r="G18" t="inlineStr">
        <is>
          <t>超写实 3D 自然风光、柔和柔光摄影、流动飘逸丝绸材质、清新低饱和自然绿调、极简单产品聚焦</t>
        </is>
      </c>
      <c r="H18" t="inlineStr">
        <is>
          <t>静谧治愈、天然柔和、纯净高级、松弛安心</t>
        </is>
      </c>
      <c r="I18" t="inlineStr">
        <is>
          <t>1. 丝绸飘带形成自然 S 型视觉引导，视线集中中心蚕丝蛋；2. 户外山林草地背景强化天然原料属性；3. 画面干净无多余杂物，突出产品柔润质感；4. 柔光弱对比，适配追求温和质感的家居 / 护肤赛道</t>
        </is>
      </c>
      <c r="J18" t="inlineStr">
        <is>
          <t>1. 单核心产品居中 S 型动线构图；2. 实景自然外景烘托天然原料卖点；3. 飘逸柔性材质做视觉引导载体；4. 极简留白写实质感，弱化营销喧闹感</t>
        </is>
      </c>
      <c r="K18" t="inlineStr">
        <is>
          <t>1. 潮牌、街头辣妹服饰、辣味重口美食；2. 潮流拼贴、涂鸦风年轻向活动物料；3. 大促狂欢促销海报，氛围过于安静缺少热闹感；4. 金属工业风、赛博朋克数码产品宣传</t>
        </is>
      </c>
      <c r="L18" t="inlineStr">
        <is>
          <t>竖版单品主视觉，流动半透白丝绸呈 S 曲线贯穿画面，中心放置蚕丝蛋，背景是层次渐变的青山草地河流，底部放置一行卖点文案，整体干净柔和，适合家纺、天然护肤详情头图</t>
        </is>
      </c>
    </row>
    <row r="19" ht="25.5" customHeight="true">
      <c r="A19" t="inlineStr">
        <is>
          <t>CKT-23</t>
        </is>
      </c>
      <c r="B19" t="inlineStr">
        <is>
          <t>构图</t>
        </is>
      </c>
      <c r="C19" t="inlineStr">
        <is>
          <t>image 1636407530.png</t>
        </is>
      </c>
      <c r="D19" s="2" t="str">
        <f>=HYPERLINK("https://p3-piu.byteimg.com/tos-cn-i-8jisjyls3a/8a32cbc8b26443569279f8ea92b2d5a1~tplv-8jisjyls3a-3:0:0:q75.png", "https://p3-piu.byteimg.com/tos-cn-i-8jisjyls3a/8a32cbc8b26443569279f8ea92b2d5a1~tplv-8jisjyls3a-3:0:0:q75.png")</f>
        <v>https://p3-piu.byteimg.com/tos-cn-i-8jisjyls3a/8a32cbc8b26443569279f8ea92b2d5a1~tplv-8jisjyls3a-3:0:0:q75.png</v>
      </c>
      <c r="E19" t="inlineStr">
        <is>
          <t>软装家具、灯具装饰、少女家纺、香薰、治愈系家居好物、儿童软装</t>
        </is>
      </c>
      <c r="F19" t="inlineStr">
        <is>
          <t>春季家装焕新、软装新品发布、治愈生活企划、少女家居节、软装设计师联名</t>
        </is>
      </c>
      <c r="G19" t="inlineStr">
        <is>
          <t>3D 毛绒肌理梦幻场景、马卡龙渐变低饱和、扁平手绘花朵点缀、治愈童话风虚实结合</t>
        </is>
      </c>
      <c r="H19" t="inlineStr">
        <is>
          <t>温柔治愈、梦幻松弛、软萌舒适、浪漫少女感</t>
        </is>
      </c>
      <c r="I19" t="inlineStr">
        <is>
          <t>1. 毛绒质感渐变山丘打造柔和治愈场景，氛围感拉满；2. 前后景手绘花朵框住中心文字，天然视觉聚焦；3. 小人剪影增加场景故事感，适配生活家居赛道；4. 粉紫黄低饱和渐变，视觉柔和无压迫</t>
        </is>
      </c>
      <c r="J19" t="inlineStr">
        <is>
          <t>1. 治愈家居场景氛围构图；2. 前后景插画元素框定中间文字区域；3. 毛绒肌理 3D 梦幻山水场景搭建；4. 极简居中文字，上下场景烘托主题</t>
        </is>
      </c>
      <c r="K19" t="inlineStr">
        <is>
          <t>1. 商务办公家具、硬核工业建材、男士户外工装；2. 辣味生鲜、速食夜宵、男士烟酒；3. 先锋街头潮牌、暗黑系服饰；4. 严谨科普、教育类宣传物料，童话氛围不匹配</t>
        </is>
      </c>
      <c r="L19" t="inlineStr">
        <is>
          <t>竖版家居氛围海报，粉紫渐变毛绒质感连绵山丘铺满背景，画面四角放置两朵扁平手绘红花，画面中心放置人物剪影与主题文字，童话治愈场景，适合软装、灯具小红书种草封面</t>
        </is>
      </c>
    </row>
    <row r="20" ht="25.5" customHeight="true">
      <c r="A20" t="inlineStr">
        <is>
          <t>CKT-24</t>
        </is>
      </c>
      <c r="B20" t="inlineStr">
        <is>
          <t>构图</t>
        </is>
      </c>
      <c r="C20" t="inlineStr">
        <is>
          <t>image 1636407531.png</t>
        </is>
      </c>
      <c r="D20" s="2" t="str">
        <f>=HYPERLINK("https://p26-piu.byteimg.com/tos-cn-i-8jisjyls3a/4de182b3146c4f129fafcaafe0c6890f~tplv-8jisjyls3a-3:0:0:q75.png", "https://p26-piu.byteimg.com/tos-cn-i-8jisjyls3a/4de182b3146c4f129fafcaafe0c6890f~tplv-8jisjyls3a-3:0:0:q75.png")</f>
        <v>https://p26-piu.byteimg.com/tos-cn-i-8jisjyls3a/4de182b3146c4f129fafcaafe0c6890f~tplv-8jisjyls3a-3:0:0:q75.png</v>
      </c>
      <c r="E20" t="inlineStr">
        <is>
          <t>智能学习设备、文具、图书、教育数码、文创、阅读好物</t>
        </is>
      </c>
      <c r="F20" t="inlineStr">
        <is>
          <t>开学季、学习产品上新季、知识文化专题、教育品类超级品牌日、图书文化展</t>
        </is>
      </c>
      <c r="G20" t="inlineStr">
        <is>
          <t>超写实荒漠场景合成、复古做旧器物、大地暖棕电影光影、虚实结合隐喻构图、电影级宽景深</t>
        </is>
      </c>
      <c r="H20" t="inlineStr">
        <is>
          <t>厚重人文、探索求知、沉稳大气、复古情怀</t>
        </is>
      </c>
      <c r="I20" t="inlineStr">
        <is>
          <t>1. 沙漠绿洲隐喻学习，创意故事性强，差异化教育海报；2. 散落复古文具、学习道具丰富文化氛围；3. 底部人物背影形成代入感，引发用户共鸣；4. 上下分层：顶部标题、中部场景、底部活动信息，信息层级完整</t>
        </is>
      </c>
      <c r="J20" t="inlineStr">
        <is>
          <t>1. 隐喻式合成场景概念 KV 构图；2. 场景内散落品类相关道具烘托主题；3. 底部人物背影增强代入叙事；4. 上下分层信息排版，兼顾创意画面与活动信息</t>
        </is>
      </c>
      <c r="K20" t="inlineStr">
        <is>
          <t>1. 少女甜系甜品、可爱母婴、潮流街头潮牌；2. 清新洗护、轻薄防晒等浅色系柔和美妆；3. 短视频轻量化信息流小图，画面元素过多显拥挤；4. 极简轻奢小件珠宝，厚重荒漠场景违和</t>
        </is>
      </c>
      <c r="L20" t="inlineStr">
        <is>
          <t>竖版教育品类活动主视觉，荒漠沙丘为基底，散落煤油灯、算盘、地球仪、尺子、手机等复古学习器物，底部三人背影望向画面中心，顶部放置主标题，底部标注活动时间与平台入口，电影质感人文风</t>
        </is>
      </c>
    </row>
    <row r="21" ht="25.5" customHeight="true">
      <c r="A21" t="inlineStr">
        <is>
          <t>CKT-25</t>
        </is>
      </c>
      <c r="B21" t="inlineStr">
        <is>
          <t>色彩</t>
        </is>
      </c>
      <c r="C21" t="inlineStr">
        <is>
          <t>image 1636407498.png</t>
        </is>
      </c>
      <c r="D21" s="2" t="str">
        <f>=HYPERLINK("https://p3-piu.byteimg.com/tos-cn-i-8jisjyls3a/90e762935f87400b88a7271bbaa38033~tplv-8jisjyls3a-3:0:0:q75.png", "https://p3-piu.byteimg.com/tos-cn-i-8jisjyls3a/90e762935f87400b88a7271bbaa38033~tplv-8jisjyls3a-3:0:0:q75.png")</f>
        <v>https://p3-piu.byteimg.com/tos-cn-i-8jisjyls3a/90e762935f87400b88a7271bbaa38033~tplv-8jisjyls3a-3:0:0:q75.png</v>
      </c>
      <c r="E21" t="inlineStr">
        <is>
          <t>麻辣食品、川湘预制菜、辣味零食、火锅调料、夜宵水产</t>
        </is>
      </c>
      <c r="F21" t="inlineStr">
        <is>
          <t>辣味品类日、秋冬美食季、小龙虾上新、火锅节、辣味新品发售</t>
        </is>
      </c>
      <c r="G21" t="inlineStr">
        <is>
          <t>渐变分层功能色卡、暖橙红递进色系、低饱和浅蓝缓冲色、网点半调印刷质感、冷暖对冲配色</t>
        </is>
      </c>
      <c r="H21" t="inlineStr">
        <is>
          <t>火辣刺激、层次清晰、直观易懂、清爽中和燥热</t>
        </is>
      </c>
      <c r="I21" t="inlineStr">
        <is>
          <t>1. 色彩与产品味觉强绑定，红橙明度逐级升高对应辣度，信息可视化；2. 冷浅蓝作为最低辣度缓冲，平衡大面积暖红燥热感；3. 同色系渐变统一视觉，色值标注标准化，可落地品牌规范；4. 网点肌理弱化纯色块生硬，提升印刷质感</t>
        </is>
      </c>
      <c r="J21" t="inlineStr">
        <is>
          <t>1. 清冷护肤、高端白茶、母婴辅食、极简家居等无 “热辣” 属性品类；2. 纯冷调科技数码、冰饮专场，暖红主色调性冲突；3. 国风素雅茶叶、新中式服饰，高饱和红橙过于喧闹</t>
        </is>
      </c>
      <c r="K21" t="inlineStr">
        <is>
          <t>以红→橙→黄→浅蓝线性渐变构建辣度色彩体系，高饱和深红代表重辣，低饱和浅蓝代表清淡，冷暖对冲平衡视觉，配套网点纹理色块 + 标准色值，适合美食活动品牌色规范输出</t>
        </is>
      </c>
    </row>
    <row r="22" ht="25.5" customHeight="true">
      <c r="A22" t="inlineStr">
        <is>
          <t>CKT-26</t>
        </is>
      </c>
      <c r="B22" t="inlineStr">
        <is>
          <t>色彩</t>
        </is>
      </c>
      <c r="C22" t="inlineStr">
        <is>
          <t>image 1636407501.png</t>
        </is>
      </c>
      <c r="D22" s="2" t="str">
        <f>=HYPERLINK("https://p6-piu.byteimg.com/tos-cn-i-8jisjyls3a/9aced54379284a93ba617b459b551dea~tplv-8jisjyls3a-3:0:0:q75.png", "https://p6-piu.byteimg.com/tos-cn-i-8jisjyls3a/9aced54379284a93ba617b459b551dea~tplv-8jisjyls3a-3:0:0:q75.png")</f>
        <v>https://p6-piu.byteimg.com/tos-cn-i-8jisjyls3a/9aced54379284a93ba617b459b551dea~tplv-8jisjyls3a-3:0:0:q75.png</v>
      </c>
      <c r="E22" t="inlineStr">
        <is>
          <t>辣味速食、小龙虾、川味调味品、烧烤预制菜、夜市零食</t>
        </is>
      </c>
      <c r="F22" t="inlineStr">
        <is>
          <t>商城美食大促、辣味新品系列发布、线下美食展会、超级品类日</t>
        </is>
      </c>
      <c r="G22" t="inlineStr">
        <is>
          <t>高饱和暖红 + 活力橙为主色，荧光绿 / 奶黄辅助色，红橙模糊渐变氛围色，黑底高对比色彩系统</t>
        </is>
      </c>
      <c r="H22" t="inlineStr">
        <is>
          <t>热烈狂欢、食欲拉满、潮流年轻、火辣热闹</t>
        </is>
      </c>
      <c r="I22" t="inlineStr">
        <is>
          <t>1. 三色分层主辅色：红主食欲、橙提亮活力、绿平衡油腻感；2. 深色基底放大高饱和色彩冲击力，适配短视频、直播背景；3. 模糊渐变红橙氛围色，可做背景虚化底纹，统一活动视觉氛围；4. 色彩搭配完整，覆盖色块、实物、氛围底纹全场景落地</t>
        </is>
      </c>
      <c r="J22" t="inlineStr">
        <is>
          <t>1. 低饱和极简轻奢赛道（高饱和暖色破坏高级克制感）；2. 冷感冰品、冷萃咖啡、天然草本护肤；3. 中老年滋补、国风养生食品，色彩过于跳脱浮躁</t>
        </is>
      </c>
      <c r="K22" t="inlineStr">
        <is>
          <t>黑色深色基底衬托高饱和 #ff2a00 辣椒红、#ff8b00 活力橙，搭配荧光浅绿、柔和奶黄作为辅助平衡色，同时提供红橙融合模糊渐变氛围底色，整套色彩体系适配辣味美食全物料</t>
        </is>
      </c>
    </row>
    <row r="23" ht="25.5" customHeight="true">
      <c r="A23" t="inlineStr">
        <is>
          <t>CKT-27</t>
        </is>
      </c>
      <c r="B23" t="inlineStr">
        <is>
          <t>色彩</t>
        </is>
      </c>
      <c r="C23" t="inlineStr">
        <is>
          <t>image 1636407503.png</t>
        </is>
      </c>
      <c r="D23" s="2" t="str">
        <f>=HYPERLINK("https://p3-piu.byteimg.com/tos-cn-i-8jisjyls3a/bfaa602881ef44718811bcce9705ab84~tplv-8jisjyls3a-3:0:0:q75.png", "https://p3-piu.byteimg.com/tos-cn-i-8jisjyls3a/bfaa602881ef44718811bcce9705ab84~tplv-8jisjyls3a-3:0:0:q75.png")</f>
        <v>https://p3-piu.byteimg.com/tos-cn-i-8jisjyls3a/bfaa602881ef44718811bcce9705ab84~tplv-8jisjyls3a-3:0:0:q75.png</v>
      </c>
      <c r="E23" t="inlineStr">
        <is>
          <t>潮牌服饰、青少年美妆、潮流玩具、街头配饰、休闲运动装</t>
        </is>
      </c>
      <c r="F23" t="inlineStr">
        <is>
          <t>春夏潮流上新、偶像周边发售、青年潮玩展、小红书潮流企划、潮牌快闪</t>
        </is>
      </c>
      <c r="G23" t="inlineStr">
        <is>
          <t>马卡龙粉蓝粉紫低饱和撞色、糖果荧光柔色、黑白棋盘中性基底，冷暖柔色混搭甜酷双色</t>
        </is>
      </c>
      <c r="H23" t="inlineStr">
        <is>
          <t>甜酷叛逆、元气少女、活泼潮流、软萌先锋</t>
        </is>
      </c>
      <c r="I23" t="inlineStr">
        <is>
          <t>1. 粉 + 薄荷蓝冷暖马卡龙撞色，同时兼顾可爱与街头感；2. 黑白棋盘格中性基底，中和亮色饱和度，避免画面过飘；3. 低明度柔荧光色，年轻向视觉柔和不刺眼，适配线上信息流；4. 多辅助亮色点缀，丰富层次但不杂乱</t>
        </is>
      </c>
      <c r="J23" t="inlineStr">
        <is>
          <t>1. 商务正装、高端奢品、中老年男装；2. 严肃教育、医疗、金融行业宣传；3. 国风厚重复古品类，马卡龙糖果色违和</t>
        </is>
      </c>
      <c r="K23" t="inlineStr">
        <is>
          <t>基底采用黑白棋盘中性色，主体以低饱和粉、薄荷青、鹅黄马卡龙柔色为主，冷暖粉蓝撞色构建甜酷色彩基调，搭配少量高饱和亮粉、亮蓝图形点缀，适配青年潮流穿搭视觉</t>
        </is>
      </c>
    </row>
    <row r="24" ht="25.5" customHeight="true">
      <c r="A24" t="inlineStr">
        <is>
          <t>CKT-28</t>
        </is>
      </c>
      <c r="B24" t="inlineStr">
        <is>
          <t>色彩</t>
        </is>
      </c>
      <c r="C24" t="inlineStr">
        <is>
          <t>image 1636407504.png</t>
        </is>
      </c>
      <c r="D24" s="2" t="str">
        <f>=HYPERLINK("https://p9-piu.byteimg.com/tos-cn-i-8jisjyls3a/c5780971c21a41539b84d1d1ee330c92~tplv-8jisjyls3a-3:0:0:q75.png", "https://p9-piu.byteimg.com/tos-cn-i-8jisjyls3a/c5780971c21a41539b84d1d1ee330c92~tplv-8jisjyls3a-3:0:0:q75.png")</f>
        <v>https://p9-piu.byteimg.com/tos-cn-i-8jisjyls3a/c5780971c21a41539b84d1d1ee330c92~tplv-8jisjyls3a-3:0:0:q75.png</v>
      </c>
      <c r="E24" t="inlineStr">
        <is>
          <t>潮玩手办、复古机车服饰、户外机能、潮流汽车周边、设计师潮品</t>
        </is>
      </c>
      <c r="F24" t="inlineStr">
        <is>
          <t>复古潮流展、潮玩新品发售、美式复古企划、机车文化活动、春夏机能上新</t>
        </is>
      </c>
      <c r="G24" t="inlineStr">
        <is>
          <t>金属红银撞色 + 浅青渐变低饱和背景、低对比复古工业色彩、白底浅蓝通透底色，红金属高饱和点缀</t>
        </is>
      </c>
      <c r="H24" t="inlineStr">
        <is>
          <t>复古先锋、利落高级、清爽通透、复古摩登</t>
        </is>
      </c>
      <c r="I24" t="inlineStr">
        <is>
          <t>1. 浅青低饱和背景弱化视觉压迫，突出主体金属红；2. 红银冷暖金属撞色，复古机械质感强烈；3. 浅色系基底适配短视频竖版海报，长时间观看不疲劳；4. 背景浅蓝渐变统一，可复用为系列物料统一底色</t>
        </is>
      </c>
      <c r="J24" t="inlineStr">
        <is>
          <t>1. 母婴软萌、甜品少女向品类，冷硬金属红调性冲突；2. 国风柔美家居、新中式护肤；3. 辣味美食暖调活动，浅青冷基底削弱食欲氛围</t>
        </is>
      </c>
      <c r="K24" t="inlineStr">
        <is>
          <t>浅青通透渐变冷基底，主体采用高饱和金属红 + 哑光银灰工业撞色，低明度浅蓝统一画面底色，冷暖金属对比打造复古未来潮流色彩调性</t>
        </is>
      </c>
    </row>
    <row r="25" ht="25.5" customHeight="true">
      <c r="A25" t="inlineStr">
        <is>
          <t>CKT-29</t>
        </is>
      </c>
      <c r="B25" t="inlineStr">
        <is>
          <t>色彩</t>
        </is>
      </c>
      <c r="C25" t="inlineStr">
        <is>
          <t>image 1636407515.png</t>
        </is>
      </c>
      <c r="D25" s="2" t="str">
        <f>=HYPERLINK("https://p3-piu.byteimg.com/tos-cn-i-8jisjyls3a/2d8e260b289b4a2d848fb7289b6d9569~tplv-8jisjyls3a-3:0:0:q75.png", "https://p3-piu.byteimg.com/tos-cn-i-8jisjyls3a/2d8e260b289b4a2d848fb7289b6d9569~tplv-8jisjyls3a-3:0:0:q75.png")</f>
        <v>https://p3-piu.byteimg.com/tos-cn-i-8jisjyls3a/2d8e260b289b4a2d848fb7289b6d9569~tplv-8jisjyls3a-3:0:0:q75.png</v>
      </c>
      <c r="E25" t="inlineStr">
        <is>
          <t>潮牌、小众美妆、艺术文创、青年先锋艺术展、亚文化配饰</t>
        </is>
      </c>
      <c r="F25" t="inlineStr">
        <is>
          <t>先锋艺术展、亚文化潮流企划、设计师联名、线上艺术专栏、小众彩妆上新</t>
        </is>
      </c>
      <c r="G25" t="inlineStr">
        <is>
          <t>荧光绿 + 紫红渐变撞色、粉紫渐变柔底色、高饱和刺目酸性色彩、冷暖强对冲霓虹色系</t>
        </is>
      </c>
      <c r="H25" t="inlineStr">
        <is>
          <t>先锋猎奇、叛逆个性、梦幻赛博、小众前卫</t>
        </is>
      </c>
      <c r="I25" t="inlineStr">
        <is>
          <t>1. 绿、紫红强冷暖撞色，视觉记忆点极强，区分大众商业视觉；2. 粉到紫渐变柔底色缓冲高饱和图形，避免画面割裂；3. 霓虹酸性高饱和适配亚文化、先锋青年审美；4. 渐变软底色可系列复用，统一整套物料色彩氛围</t>
        </is>
      </c>
      <c r="J25" t="inlineStr">
        <is>
          <t>1. 大众快消食品、母婴、中老年产品；2. 高端轻奢、极简商务、政务教育宣传；3. 国风温润家居、天然护肤，荧光高饱和色彩违和</t>
        </is>
      </c>
      <c r="K25" t="inlineStr">
        <is>
          <t>粉紫渐变低饱和柔底色，主体搭配荧光亮绿、紫红刺目酸性高饱和 3D 图形，冷暖霓虹强对冲配色，打造 Y2K 亚文化先锋色彩体系，适合小众先锋艺术、潮牌视觉</t>
        </is>
      </c>
    </row>
    <row r="26" ht="25.5" customHeight="true">
      <c r="A26" t="inlineStr">
        <is>
          <t>CKT-30</t>
        </is>
      </c>
      <c r="B26" t="inlineStr">
        <is>
          <t>色彩</t>
        </is>
      </c>
      <c r="C26" t="inlineStr">
        <is>
          <t>image 1636407519.png</t>
        </is>
      </c>
      <c r="D26" s="2" t="str">
        <f>=HYPERLINK("https://p3-piu.byteimg.com/tos-cn-i-8jisjyls3a/9f091a66a4824a77aed4faa1777a4dac~tplv-8jisjyls3a-3:0:0:q75.png", "https://p3-piu.byteimg.com/tos-cn-i-8jisjyls3a/9f091a66a4824a77aed4faa1777a4dac~tplv-8jisjyls3a-3:0:0:q75.png")</f>
        <v>https://p3-piu.byteimg.com/tos-cn-i-8jisjyls3a/9f091a66a4824a77aed4faa1777a4dac~tplv-8jisjyls3a-3:0:0:q75.png</v>
      </c>
      <c r="E26" t="inlineStr">
        <is>
          <t>街头潮牌、街舞赛事、潮流短视频栏目、夜市活动、街头文创</t>
        </is>
      </c>
      <c r="F26" t="inlineStr">
        <is>
          <t>街头文化节、潮流赛事、夜市开业、潮牌周年、短视频栏目改版</t>
        </is>
      </c>
      <c r="G26" t="inlineStr">
        <is>
          <t>橙红暖霓虹渐变发光色、低饱和绿 / 蓝辅助色块、黑底高对比发光色，暖渐变光晕色彩</t>
        </is>
      </c>
      <c r="H26" t="inlineStr">
        <is>
          <t>燥热街头、热血潮流、氛围感霓虹、热烈躁动</t>
        </is>
      </c>
      <c r="I26" t="inlineStr">
        <is>
          <t>1. 橙到红线性渐变发光字，自带烟火街头氛围感；2. 纯黑基底最大化放大渐变霓虹光晕质感；3. 小面积低饱和绿、蓝色块辅助，丰富画面色彩层次；4. 渐变光晕色可提取做标题、装饰元素通用色</t>
        </is>
      </c>
      <c r="J26" t="inlineStr">
        <is>
          <t>1. 清冷春日、天然家居、母婴温柔向品类；2. 高端时装、极简艺术展，黑底霓虹过于喧闹；3. 冰饮、冷萃、夏日清爽专场，暖红橙主色燥热冲突</t>
        </is>
      </c>
      <c r="K26" t="inlineStr">
        <is>
          <t>纯黑深色基底承载橙红渐变霓虹发光字体，搭配小面积浅绿、浅蓝低饱和几何色块点缀，以暖渐变光晕为核心色彩语言，适配街头潮流、夜市活动视觉</t>
        </is>
      </c>
    </row>
    <row r="27" ht="25.5" customHeight="true">
      <c r="A27" t="inlineStr">
        <is>
          <t>CKT-31</t>
        </is>
      </c>
      <c r="B27" t="inlineStr">
        <is>
          <t>色彩</t>
        </is>
      </c>
      <c r="C27" t="inlineStr">
        <is>
          <t>image 1636407524.png</t>
        </is>
      </c>
      <c r="D27" s="2" t="str">
        <f>=HYPERLINK("https://p3-piu.byteimg.com/tos-cn-i-8jisjyls3a/6f16f76c2b0b4e7caa7b1803e95871ca~tplv-8jisjyls3a-3:0:0:q75.png", "https://p3-piu.byteimg.com/tos-cn-i-8jisjyls3a/6f16f76c2b0b4e7caa7b1803e95871ca~tplv-8jisjyls3a-3:0:0:q75.png")</f>
        <v>https://p3-piu.byteimg.com/tos-cn-i-8jisjyls3a/6f16f76c2b0b4e7caa7b1803e95871ca~tplv-8jisjyls3a-3:0:0:q75.png</v>
      </c>
      <c r="E27" t="inlineStr">
        <is>
          <t>艺术展览、文创市集、青年设计赛事、潮流线下快闪、文创周边</t>
        </is>
      </c>
      <c r="F27" t="inlineStr">
        <is>
          <t>毕业艺术展、青年设计师沙龙、文创市集、创意设计大赛、线下艺术快闪</t>
        </is>
      </c>
      <c r="G27" t="inlineStr">
        <is>
          <t>多层彩虹等高线渐变、高饱和马卡龙全色谱、白底高通透多彩系统，多色环层叠渐变</t>
        </is>
      </c>
      <c r="H27" t="inlineStr">
        <is>
          <t>鲜活多元、活泼创意、青春自由、丰富治愈</t>
        </is>
      </c>
      <c r="I27" t="inlineStr">
        <is>
          <t>1. 红橙黄绿蓝紫多层等高线渐变，一套色覆盖全套 VI 物料；2. 纯白基底弱化多彩杂乱感，印刷落地干净清晰；3. 全色谱高饱和马卡龙，适配青年创意、艺术多元主题；4. 色彩模块化拆分，可单独提取单色做单品周边</t>
        </is>
      </c>
      <c r="J27" t="inlineStr">
        <is>
          <t>1. 高端奢品、严肃商务、金融政务；2. 极简性冷淡家居、新中式素雅护肤；3. 单一辣味、清冷冰饮垂直品类，全色谱色彩分散视觉焦点</t>
        </is>
      </c>
      <c r="K27" t="inlineStr">
        <is>
          <t>纯白基底搭配多层等高线彩虹渐变轮廓，完整覆盖红、粉、黄、绿、蓝高饱和马卡龙全色谱，多色环层叠作为统一视觉符号，整套色彩适配展览全系列 VI 周边物料</t>
        </is>
      </c>
    </row>
    <row r="28" ht="25.5" customHeight="true">
      <c r="A28" t="inlineStr">
        <is>
          <t>CKT-32</t>
        </is>
      </c>
      <c r="B28" t="inlineStr">
        <is>
          <t>色彩</t>
        </is>
      </c>
      <c r="C28" t="inlineStr">
        <is>
          <t>image 1636407527.png</t>
        </is>
      </c>
      <c r="D28" s="2" t="str">
        <f>=HYPERLINK("https://p6-piu.byteimg.com/tos-cn-i-8jisjyls3a/ba2f1accd5e547edab55d34ef995c372~tplv-8jisjyls3a-3:0:0:q75.png", "https://p6-piu.byteimg.com/tos-cn-i-8jisjyls3a/ba2f1accd5e547edab55d34ef995c372~tplv-8jisjyls3a-3:0:0:q75.png")</f>
        <v>https://p6-piu.byteimg.com/tos-cn-i-8jisjyls3a/ba2f1accd5e547edab55d34ef995c372~tplv-8jisjyls3a-3:0:0:q75.png</v>
      </c>
      <c r="E28" t="inlineStr">
        <is>
          <t>家居软装、春日护肤、花艺、女装、露营生活、香氛</t>
        </is>
      </c>
      <c r="F28" t="inlineStr">
        <is>
          <t>春季上新、家装焕新、春日市集、踏青活动、美妆春日限定</t>
        </is>
      </c>
      <c r="G28" t="inlineStr">
        <is>
          <t>低饱和柔草绿基底、柔粉莫兰迪花卉、浅粉手写文字，低对比度马卡龙春日色系，绿粉柔和冷暖搭配</t>
        </is>
      </c>
      <c r="H28" t="inlineStr">
        <is>
          <t>温柔治愈、清新松弛、春日柔和、干净静谧</t>
        </is>
      </c>
      <c r="I28" t="inlineStr">
        <is>
          <t>1. 大面积低饱和草绿奠定春日清爽基底，视觉舒适无压迫；2. 柔粉莫兰迪花卉做点缀，冷暖绿粉柔和对冲，平衡单调；3. 全画面低明度低饱和，适配治愈系生活赛道；4. 统一绿粉春日色彩公式，可复用整套春季系列海报</t>
        </is>
      </c>
      <c r="J28" t="inlineStr">
        <is>
          <t>1. 辣味美食、街头潮牌、亚文化酸性潮流；2. 深色暗黑系服饰、赛博朋克数码；3. 大促狂欢促销活动，低饱和缺少热闹冲击力</t>
        </is>
      </c>
      <c r="K28" t="inlineStr">
        <is>
          <t>大面积柔雾低饱和草绿色作为基底，搭配莫兰迪柔粉花卉、浅粉手写文字，绿粉低对比柔和冷暖配色，整体明度统一偏低，打造清新治愈春日色彩调性</t>
        </is>
      </c>
    </row>
    <row r="29" ht="25.5" customHeight="true">
      <c r="A29" t="inlineStr">
        <is>
          <t>CKT-33</t>
        </is>
      </c>
      <c r="B29" t="inlineStr">
        <is>
          <t>色彩</t>
        </is>
      </c>
      <c r="C29" t="inlineStr">
        <is>
          <t>image 1636407532.png</t>
        </is>
      </c>
      <c r="D29" s="2" t="str">
        <f>=HYPERLINK("https://p9-piu.byteimg.com/tos-cn-i-8jisjyls3a/598a993dc918481f884a4dd881255c7f~tplv-8jisjyls3a-3:0:0:q75.png", "https://p9-piu.byteimg.com/tos-cn-i-8jisjyls3a/598a993dc918481f884a4dd881255c7f~tplv-8jisjyls3a-3:0:0:q75.png")</f>
        <v>https://p9-piu.byteimg.com/tos-cn-i-8jisjyls3a/598a993dc918481f884a4dd881255c7f~tplv-8jisjyls3a-3:0:0:q75.png</v>
      </c>
      <c r="E29" t="inlineStr">
        <is>
          <t>户外露营、轻食、护肤、家居、亲子、花艺文旅</t>
        </is>
      </c>
      <c r="F29" t="inlineStr">
        <is>
          <t>春日踏青企划、春季护肤上新、居家生活种草、春日市集、文旅踏青活动</t>
        </is>
      </c>
      <c r="G29" t="inlineStr">
        <is>
          <t>粉绿模糊渐变柔雾底色、低饱和马卡龙浅色系、纯白细文字，渐变融边朦胧春日色</t>
        </is>
      </c>
      <c r="H29" t="inlineStr">
        <is>
          <t>松弛治愈、清新温柔、朦胧氛围感、轻盈舒适</t>
        </is>
      </c>
      <c r="I29" t="inlineStr">
        <is>
          <t>1. 粉绿融合模糊渐变底色，弱化色块边界，朦胧春日氛围感极强；2. 全画面低饱和低对比，长时间浏览视觉舒缓；3. 纯白文字叠加渐变底色，清晰不抢色彩氛围；4. 粉绿渐变可提取为通用春日底纹，适配信息流长图</t>
        </is>
      </c>
      <c r="J29" t="inlineStr">
        <is>
          <t>1. 辣味重食、街头潮牌、高饱和潮流赛事；2. 深色写实工业、硬核数码、机车户外；3. 大促狂欢促销，朦胧低饱和缺少视觉冲击力</t>
        </is>
      </c>
      <c r="K29" t="inlineStr">
        <is>
          <t>粉、浅绿双向融合模糊渐变柔雾底色，无清晰色块边界，整体统一低饱和浅马卡龙明度，搭配纯白纤细文字，朦胧柔和春日治愈色彩体系，适配生活种草信息流</t>
        </is>
      </c>
    </row>
    <row r="30" ht="25.5" customHeight="true">
      <c r="A30" t="inlineStr">
        <is>
          <t>CKT-34</t>
        </is>
      </c>
      <c r="B30" t="inlineStr">
        <is>
          <t>色彩</t>
        </is>
      </c>
      <c r="C30" t="inlineStr">
        <is>
          <t>image 1636407533.png</t>
        </is>
      </c>
      <c r="D30" s="2" t="str">
        <f>=HYPERLINK("https://p9-piu.byteimg.com/tos-cn-i-8jisjyls3a/93fcec947cb34da1bc636f32908a9f3e~tplv-8jisjyls3a-3:0:0:q75.png", "https://p9-piu.byteimg.com/tos-cn-i-8jisjyls3a/93fcec947cb34da1bc636f32908a9f3e~tplv-8jisjyls3a-3:0:0:q75.png")</f>
        <v>https://p9-piu.byteimg.com/tos-cn-i-8jisjyls3a/93fcec947cb34da1bc636f32908a9f3e~tplv-8jisjyls3a-3:0:0:q75.png</v>
      </c>
      <c r="E30" t="inlineStr">
        <is>
          <t>轻奢女装、高端护肤、花艺、香氛、软装、艺术美学栏目</t>
        </is>
      </c>
      <c r="F30" t="inlineStr">
        <is>
          <t>春日高定上新、设计师春季联名、艺术春日企划、轻奢品牌日、花艺展</t>
        </is>
      </c>
      <c r="G30" t="inlineStr">
        <is>
          <t>粉棕水墨模糊渐变、低饱和莫兰迪柔粉、黑白纤细文字，低对比度雅致春日色系，暖粉 + 中性灰平衡</t>
        </is>
      </c>
      <c r="H30" t="inlineStr">
        <is>
          <t>雅致高级、温柔轻奢、静谧新生、克制温柔</t>
        </is>
      </c>
      <c r="I30" t="inlineStr">
        <is>
          <t>1. 粉棕水墨融边渐变底色，区别大众亮绿春日视觉，轻奢差异化；2. 中性黑白文字平衡柔粉甜腻，提升克制高级质感；3. 低饱和莫兰迪粉弱化荧光感，适配高端美妆、女装赛道；4. 粉棕中性渐变统一调性，适配竖版轻奢海报、杂志刊头</t>
        </is>
      </c>
      <c r="J30" t="inlineStr">
        <is>
          <t>1. 平价快消零食、辣味市井美食、街头亚文化潮牌；2. 高饱和彩虹文创、童趣母婴；3. 硬核工业、机车、机能户外，粉棕柔色调性冲突</t>
        </is>
      </c>
      <c r="K30" t="inlineStr">
        <is>
          <t>粉与浅棕水墨模糊融合渐变底色，低饱和莫兰迪柔粉为主色调，搭配中性黑白纤细文字中和甜感，整体低对比度雅致柔和，打造轻奢高级春日色彩体系，适配高端服饰、护肤美学物料</t>
        </is>
      </c>
    </row>
    <row r="31" ht="25.5" customHeight="true">
      <c r="A31" t="inlineStr">
        <is>
          <t>CKT-35</t>
        </is>
      </c>
      <c r="B31" t="inlineStr">
        <is>
          <t>质感</t>
        </is>
      </c>
      <c r="C31" t="inlineStr">
        <is>
          <t>image 1636407505.png</t>
        </is>
      </c>
      <c r="D31" s="2" t="str">
        <f>=HYPERLINK("https://p9-piu.byteimg.com/tos-cn-i-8jisjyls3a/4816e336dcfd41ec8f9e28609f1eb8d0~tplv-8jisjyls3a-3:0:0:q75.png", "https://p9-piu.byteimg.com/tos-cn-i-8jisjyls3a/4816e336dcfd41ec8f9e28609f1eb8d0~tplv-8jisjyls3a-3:0:0:q75.png")</f>
        <v>https://p9-piu.byteimg.com/tos-cn-i-8jisjyls3a/4816e336dcfd41ec8f9e28609f1eb8d0~tplv-8jisjyls3a-3:0:0:q75.png</v>
      </c>
      <c r="E31" t="inlineStr">
        <is>
          <t>电影节展、先锋艺术企划、青年潮流快闪、独立影片上新</t>
        </is>
      </c>
      <c r="F31" t="inlineStr">
        <is>
          <t>写实 3D 塑胶哑光立体材质、细腻人体器官肌理、高饱和纯色平涂底色、硬朗粗字印刷肌理，软硬材质对冲</t>
        </is>
      </c>
      <c r="G31" t="inlineStr">
        <is>
          <t>猎奇脑洞、先锋反叛、硬核趣味、视觉冲击</t>
        </is>
      </c>
      <c r="H31" t="inlineStr">
        <is>
          <t>1. 哑光黑锅塑胶硬质感 vs 人脑湿润软组织肌理，软硬材质强烈对比，记忆点极强；2. 3D 模型细腻生物肌理还原真实触感，增强画面叙事；3. 底色纯平无杂色，突出主体立体凹凸质感；4. 粗体字印刷颗粒肌理统一平面文字质感</t>
        </is>
      </c>
      <c r="I31" t="inlineStr">
        <is>
          <t>1. 母婴、极简轻奢护肤、温柔家居；2. 国风雅致茶饮、新中式服饰，猎奇器官肌理违和；3. 治愈春日清新向物料，厚重塑胶 + 生物肌理压抑</t>
        </is>
      </c>
      <c r="J31" t="inlineStr">
        <is>
          <t>主体为哑光磨砂塑胶锅体，搭配水润细腻人脑软组织写实 3D 肌理，硬质工业塑胶与柔软生物肌理形成强烈反差；底色平整无肌理，文字带轻微印刷颗粒质感，立体凹凸光影强化物体体积触感</t>
        </is>
      </c>
    </row>
    <row r="32" ht="25.5" customHeight="true">
      <c r="A32" t="inlineStr">
        <is>
          <t>CKT-36</t>
        </is>
      </c>
      <c r="B32" t="inlineStr">
        <is>
          <t>质感</t>
        </is>
      </c>
      <c r="C32" t="inlineStr">
        <is>
          <t>image 1636407513.png</t>
        </is>
      </c>
      <c r="D32" s="2" t="str">
        <f>=HYPERLINK("https://p26-piu.byteimg.com/tos-cn-i-8jisjyls3a/b06d80507305439aa7f78a9c15dd8d40~tplv-8jisjyls3a-3:0:0:q75.png", "https://p26-piu.byteimg.com/tos-cn-i-8jisjyls3a/b06d80507305439aa7f78a9c15dd8d40~tplv-8jisjyls3a-3:0:0:q75.png")</f>
        <v>https://p26-piu.byteimg.com/tos-cn-i-8jisjyls3a/b06d80507305439aa7f78a9c15dd8d40~tplv-8jisjyls3a-3:0:0:q75.png</v>
      </c>
      <c r="E32" t="inlineStr">
        <is>
          <t>艺术摄影展、人像创作征集、设计师个人作品展、小众彩妆新品发布</t>
        </is>
      </c>
      <c r="F32" t="inlineStr">
        <is>
          <t>噪点颗粒柔焦人像肌理、哑光黑几何色块平涂肌理、纤细手绘线条磨砂肌理，低饱和柔雾模糊质感</t>
        </is>
      </c>
      <c r="G32" t="inlineStr">
        <is>
          <t>疏离文艺、抽象朦胧、冷静克制、小众高级</t>
        </is>
      </c>
      <c r="H32" t="inlineStr">
        <is>
          <t>1. 人像添加胶片噪点柔化皮肤，弱化锐利写实，提升艺术朦胧感；2. 纯黑几何块完全哑光无反光，衬托柔焦人像通透质感；3. 细线手绘磨砂肌理增加画面层次，不抢夺主体；4. 低对比柔雾质感适配线上文艺信息流，视觉舒缓</t>
        </is>
      </c>
      <c r="I32" t="inlineStr">
        <is>
          <t>1. 辣味美食、街头硬核潮品、大促促销带货图，朦胧质感缺少冲击力；2. 重工金属数码、机车户外，柔雾肌理过于柔和；3. 母婴明亮治愈向物料，深色哑光块压抑氛围</t>
        </is>
      </c>
      <c r="J32" t="inlineStr">
        <is>
          <t>人像图层叠加胶片颗粒噪点 + 高斯柔焦模糊，皮肤呈现雾面哑光柔化质感；叠加纯黑无反光哑光几何切割色块，色块上附纤细磨砂手绘曲线线条，整体虚实分层，虚实柔雾 + 哑光硬块双重质感对冲</t>
        </is>
      </c>
    </row>
    <row r="33" ht="25.5" customHeight="true">
      <c r="A33" t="inlineStr">
        <is>
          <t>CKT-47</t>
        </is>
      </c>
      <c r="B33" t="inlineStr">
        <is>
          <t>质感</t>
        </is>
      </c>
      <c r="C33" t="inlineStr">
        <is>
          <t>image 1636407514.png</t>
        </is>
      </c>
      <c r="D33" s="2" t="str">
        <f>=HYPERLINK("https://p26-piu.byteimg.com/tos-cn-i-8jisjyls3a/cb409668641c44e78fdbae7fcd6fdd98~tplv-8jisjyls3a-3:0:0:q75.png", "https://p26-piu.byteimg.com/tos-cn-i-8jisjyls3a/cb409668641c44e78fdbae7fcd6fdd98~tplv-8jisjyls3a-3:0:0:q75.png")</f>
        <v>https://p26-piu.byteimg.com/tos-cn-i-8jisjyls3a/cb409668641c44e78fdbae7fcd6fdd98~tplv-8jisjyls3a-3:0:0:q75.png</v>
      </c>
      <c r="E33" t="inlineStr">
        <is>
          <t>护肤新品上市、天然有机护肤节、植萃美妆专场、素食生活企划</t>
        </is>
      </c>
      <c r="F33" t="inlineStr">
        <is>
          <t>半调网点像素渐变肌理、蔬果水润新鲜写实肌理、米白哑光纸张基底、复古印刷网点质感</t>
        </is>
      </c>
      <c r="G33" t="inlineStr">
        <is>
          <t>天然纯净、清新温和、有机治愈、原生态柔和</t>
        </is>
      </c>
      <c r="H33" t="inlineStr">
        <is>
          <t>1. 蔬果保留水润新鲜表皮肌理，直观传递天然植萃原料；2. 半调网点像素渐变过渡，替代生硬色块，复古印刷质感适配护肤品牌；3. 基底采用无反光哑光宣纸肌理，弱化商业廉价感；4. 网点疏密渐变可区分元素主次，层次柔和不割裂</t>
        </is>
      </c>
      <c r="I33" t="inlineStr">
        <is>
          <t>1. 重金属彩妆、暗黑潮牌、重辣速食；2. 硬核工业数码、机车服饰，天然植萃柔和肌理调性冲突；3. 高端奢品冷硬金属风单品，网点印刷质感偏平价</t>
        </is>
      </c>
      <c r="J33" t="inlineStr">
        <is>
          <t>各类植萃蔬果保留水润新鲜表皮写实肌理，边缘用半调网点像素做渐变虚化过渡；整体铺一层低饱和度米白哑光纸张基底，文字采用复古胶印平涂质感，网点肌理与水润蔬果肌理形成软硬平衡</t>
        </is>
      </c>
    </row>
    <row r="34" ht="25.5" customHeight="true">
      <c r="A34" t="inlineStr">
        <is>
          <t>CKT-48</t>
        </is>
      </c>
      <c r="B34" t="inlineStr">
        <is>
          <t>质感</t>
        </is>
      </c>
      <c r="C34" t="inlineStr">
        <is>
          <t>image 1636407520.png</t>
        </is>
      </c>
      <c r="D34" s="2" t="str">
        <f>=HYPERLINK("https://p3-piu.byteimg.com/tos-cn-i-8jisjyls3a/68e30579e99242499113c0b5825c3e8d~tplv-8jisjyls3a-3:0:0:q75.png", "https://p3-piu.byteimg.com/tos-cn-i-8jisjyls3a/68e30579e99242499113c0b5825c3e8d~tplv-8jisjyls3a-3:0:0:q75.png")</f>
        <v>https://p3-piu.byteimg.com/tos-cn-i-8jisjyls3a/68e30579e99242499113c0b5825c3e8d~tplv-8jisjyls3a-3:0:0:q75.png</v>
      </c>
      <c r="E34" t="inlineStr">
        <is>
          <t>儿童乐园活动、儿童洗护上新、亲子市集、口腔科普活动、潮玩盲盒发售</t>
        </is>
      </c>
      <c r="F34" t="inlineStr">
        <is>
          <t>夸张变形软质塑胶人偶肌理、水润唇舌细腻软组织肌理、纯白无杂光滑平涂底色，卡通柔滑哑光质感</t>
        </is>
      </c>
      <c r="G34" t="inlineStr">
        <is>
          <t>活泼童趣、夸张趣味、松弛治愈、直白生动</t>
        </is>
      </c>
      <c r="H34" t="inlineStr">
        <is>
          <t>1. 人偶全身统一柔滑哑光塑胶软质肌理，触感视觉化，亲和力强；2. 口腔、舌头细腻湿润软组织肌理强化味觉 / 口腔赛道联想；3. 纯白光滑无肌理底色，突出人偶柔和体积感；4. 夸张造型 + 软质肌理适配低龄用户审美</t>
        </is>
      </c>
      <c r="I34" t="inlineStr">
        <is>
          <t>1. 轻奢女装、高端护肤、严肃艺术展览，卡通塑胶质感过于低幼；2. 国风雅致茶叶、商务办公产品，童趣夸张肌理违和；3. 暗黑亚文化、硬核街头潮牌，柔和软质塑胶调性冲突</t>
        </is>
      </c>
      <c r="J34" t="inlineStr">
        <is>
          <t>主体是哑光柔滑塑胶人偶立体肌理，唇部、舌头还原水润细腻软组织真实肌理，画面底色为纯白完全光滑无颗粒，整体质感柔软圆润，无尖锐硬面，视觉触感软糯童趣</t>
        </is>
      </c>
    </row>
    <row r="35" ht="25.5" customHeight="true">
      <c r="A35" t="inlineStr">
        <is>
          <t>CKT-49</t>
        </is>
      </c>
      <c r="B35" t="inlineStr">
        <is>
          <t>质感</t>
        </is>
      </c>
      <c r="C35" t="inlineStr">
        <is>
          <t>image 1636407521.png</t>
        </is>
      </c>
      <c r="D35" s="2" t="str">
        <f>=HYPERLINK("https://p3-piu.byteimg.com/tos-cn-i-8jisjyls3a/a12aff3682d146e6a4009faf680e79fb~tplv-8jisjyls3a-3:0:0:q75.png", "https://p3-piu.byteimg.com/tos-cn-i-8jisjyls3a/a12aff3682d146e6a4009faf680e79fb~tplv-8jisjyls3a-3:0:0:q75.png")</f>
        <v>https://p3-piu.byteimg.com/tos-cn-i-8jisjyls3a/a12aff3682d146e6a4009faf680e79fb~tplv-8jisjyls3a-3:0:0:q75.png</v>
      </c>
      <c r="E35" t="inlineStr">
        <is>
          <t>情绪主题艺术展、文艺短片宣传、读书日企划、青年心理内容专栏</t>
        </is>
      </c>
      <c r="F35" t="inlineStr">
        <is>
          <t>热感模糊渐变光晕肌理、低饱和磨砂文字肌理、黑白粗字硬质印刷肌理，暖调柔雾灼烧模糊质感</t>
        </is>
      </c>
      <c r="G35" t="inlineStr">
        <is>
          <t>压抑疏离、失重迷茫、氛围感文艺、克制伤感</t>
        </is>
      </c>
      <c r="H35" t="inlineStr">
        <is>
          <t>1. 人物全部做热成像灼烧模糊光晕肌理，虚实朦胧传递失重情绪；2. 底色从浅黄到深红渐变柔雾肌理，无清晰边界，氛围感统一；3. 右侧竖排文字做轻微磨砂模糊，弱化锐利破坏氛围；4. 黑白粗字硬质印刷肌理平衡画面全部柔雾虚化</t>
        </is>
      </c>
      <c r="I35" t="inlineStr">
        <is>
          <t>1. 母婴、春日清新家居、平价美食大促，压抑模糊氛围不适配；2. 阳光户外露营、活力运动服饰，灼烧朦胧肌理缺少清爽感；3. 极简轻奢高端美妆，厚重模糊肌理降低精致感</t>
        </is>
      </c>
      <c r="J35" t="inlineStr">
        <is>
          <t>人物剪影采用热成像灼烧柔化模糊光晕肌理，边缘无清晰硬边；背景自上而下铺黄→橙→红渐变柔雾磨砂肌理，文字分为两种质感：右侧竖排文字浅磨砂模糊，左下角日期文字硬质清晰印刷肌理，虚实质感对比强化情绪层次</t>
        </is>
      </c>
    </row>
    <row r="36" ht="25.5" customHeight="true">
      <c r="A36" t="inlineStr">
        <is>
          <t>CKT-50</t>
        </is>
      </c>
      <c r="B36" t="inlineStr">
        <is>
          <t>质感</t>
        </is>
      </c>
      <c r="C36" t="inlineStr">
        <is>
          <t>image 1636407525.png</t>
        </is>
      </c>
      <c r="D36" s="2" t="str">
        <f>=HYPERLINK("https://p3-piu.byteimg.com/tos-cn-i-8jisjyls3a/e5c2a45cc1b543108763e02d8778cd21~tplv-8jisjyls3a-3:0:0:q75.png", "https://p3-piu.byteimg.com/tos-cn-i-8jisjyls3a/e5c2a45cc1b543108763e02d8778cd21~tplv-8jisjyls3a-3:0:0:q75.png")</f>
        <v>https://p3-piu.byteimg.com/tos-cn-i-8jisjyls3a/e5c2a45cc1b543108763e02d8778cd21~tplv-8jisjyls3a-3:0:0:q75.png</v>
      </c>
      <c r="E36" t="inlineStr">
        <is>
          <t>线下雕塑展、美学设计沙龙、艺术科普专栏、高校设计毕业展</t>
        </is>
      </c>
      <c r="F36" t="inlineStr">
        <is>
          <t>大理石细腻哑光石材肌理、热成像渐变发光柔雾肌理、通透渐变热斑光晕质感</t>
        </is>
      </c>
      <c r="G36" t="inlineStr">
        <is>
          <t>专业理性、艺术高级、客观冷静、学术精致</t>
        </is>
      </c>
      <c r="H36" t="inlineStr">
        <is>
          <t>1. 雕塑基底保留天然大理石细腻哑光石材凹凸肌理，还原雕塑材质高级感；2. 叠加半透明热感渐变柔雾光斑，通透不覆盖底层石材纹理，双层质感叠加；3. 热斑光晕由绿→黄→红渐变，层次通透柔和，不生硬遮挡主体；4. 冷调石材 + 暖调发光雾面形成冷暖质感对冲</t>
        </is>
      </c>
      <c r="I36" t="inlineStr">
        <is>
          <t>1. 儿童童趣产品、平价快消零食、街头潮流文创，学术厚重石材肌理违和；2. 春日软萌家居、少女甜系彩妆，冷硬大理石质感缺少柔和氛围；3. 夜市、辣味美食热闹向物料，理性热成像质感过于严肃</t>
        </is>
      </c>
      <c r="J36" t="inlineStr">
        <is>
          <t>底层是天然哑光白色大理石雕塑，自带石材细微凹凸颗粒肌理；上层叠加半透明热感渐变柔雾光斑，光斑为通透柔光模糊质感，两层质感叠加互不遮挡，冷硬石材肌理搭配柔软发光雾面，质感层次丰富</t>
        </is>
      </c>
    </row>
    <row r="37" ht="25.5" customHeight="true">
      <c r="A37" t="inlineStr">
        <is>
          <t>CKT-51</t>
        </is>
      </c>
      <c r="B37" t="inlineStr">
        <is>
          <t>质感</t>
        </is>
      </c>
      <c r="C37" t="inlineStr">
        <is>
          <t>image 1636407528.png</t>
        </is>
      </c>
      <c r="D37" s="2" t="str">
        <f>=HYPERLINK("https://p9-piu.byteimg.com/tos-cn-i-8jisjyls3a/74c257c76de946ab857705ccbd530033~tplv-8jisjyls3a-3:0:0:q75.png", "https://p9-piu.byteimg.com/tos-cn-i-8jisjyls3a/74c257c76de946ab857705ccbd530033~tplv-8jisjyls3a-3:0:0:q75.png")</f>
        <v>https://p9-piu.byteimg.com/tos-cn-i-8jisjyls3a/74c257c76de946ab857705ccbd530033~tplv-8jisjyls3a-3:0:0:q75.png</v>
      </c>
      <c r="E37" t="inlineStr">
        <is>
          <t>春季上新、踏青露营节、家装焕新、春日时装周、绿植文创展</t>
        </is>
      </c>
      <c r="F37" t="inlineStr">
        <is>
          <t>毛绒苔藓蓬松软质肌理、透明 PVC 通透光滑塑胶肌理、花瓣轻薄柔雾纸质肌理、水面柔和水光折射肌理，多层软质自然质感</t>
        </is>
      </c>
      <c r="G37" t="inlineStr">
        <is>
          <t>清新治愈、柔软松弛、春日生机、轻盈通透</t>
        </is>
      </c>
      <c r="H37" t="inlineStr">
        <is>
          <t>1. 山体铺满蓬松厚实毛绒苔藓肌理，直观传递柔软治愈触感；2. 鞋子采用高透光滑 PVC 塑胶，通透轻盈，区分厚重苔藓；3. 花卉花瓣轻薄柔雾纸质肌理，弱化厚重感，贴合春日轻盈；4. 水面低反光柔和水光肌理，整体无坚硬冷硬材质，全画面柔和</t>
        </is>
      </c>
      <c r="I37" t="inlineStr">
        <is>
          <t>1. 暗黑潮牌、重金属数码、辣味重口美食，全画面柔软清新肌理调性冲突；2. 秋冬厚重羊绒、复古工装厚重品类，轻薄通透质感缺少厚重氛围；3. 硬核工业、机车户外，毛绒苔藓柔和肌理违和</t>
        </is>
      </c>
      <c r="J37" t="inlineStr">
        <is>
          <t>山体是蓬松厚实短毛绒苔藓肌理，花朵为轻薄柔雾半透纸质花瓣；鞋子是高通透光滑 PVC 塑胶，水面铺低反光柔和水光折射肌理；全画面无硬质粗糙材质，多层柔软、通透、蓬松的自然质感叠加，轻盈治愈</t>
        </is>
      </c>
    </row>
    <row r="38" ht="25.5" customHeight="true">
      <c r="A38" t="inlineStr">
        <is>
          <t>CKT-52</t>
        </is>
      </c>
      <c r="B38" t="inlineStr">
        <is>
          <t>质感</t>
        </is>
      </c>
      <c r="C38" t="inlineStr">
        <is>
          <t>image 1636407535.png</t>
        </is>
      </c>
      <c r="D38" s="2" t="str">
        <f>=HYPERLINK("https://p26-piu.byteimg.com/tos-cn-i-8jisjyls3a/da009094cb384a9e8507740288f476c2~tplv-8jisjyls3a-3:0:0:q75.png", "https://p26-piu.byteimg.com/tos-cn-i-8jisjyls3a/da009094cb384a9e8507740288f476c2~tplv-8jisjyls3a-3:0:0:q75.png")</f>
        <v>https://p26-piu.byteimg.com/tos-cn-i-8jisjyls3a/da009094cb384a9e8507740288f476c2~tplv-8jisjyls3a-3:0:0:q75.png</v>
      </c>
      <c r="E38" t="inlineStr">
        <is>
          <t>夏日限定上新、夏日派对企划、冷饮节、夏日美妆专场、花艺市集</t>
        </is>
      </c>
      <c r="F38" t="inlineStr">
        <is>
          <t>半调网点磨砂柔焦花卉肌理、渐变水雾模糊底色肌理、纤细衬线光滑油墨文字肌理，复古印刷朦胧质感</t>
        </is>
      </c>
      <c r="G38" t="inlineStr">
        <is>
          <t>清爽温柔、浪漫松弛、夏日朦胧、少女清新</t>
        </is>
      </c>
      <c r="H38" t="inlineStr">
        <is>
          <t>1. 花卉底层叠加半调网点，柔化锐利花瓣，复古胶片磨砂质感；2. 背景粉橙绿渐变水雾模糊，无清晰色块边界，朦胧氛围感拉满；3. 文字采用光滑细腻油墨印刷质感，清晰不被模糊底色吞没；4. 网点肌理弱化色彩饱和度，视觉柔和不刺眼</t>
        </is>
      </c>
      <c r="I38" t="inlineStr">
        <is>
          <t>1. 街头硬核潮品、辣味夜宵、工业数码，朦胧半调质感缺少冲击力；2. 高端冷调奢品、极简商务，网点印刷质感偏平价；3. 秋冬厚重保暖服饰，轻薄水雾肌理缺少厚重氛围感</t>
        </is>
      </c>
      <c r="J38" t="inlineStr">
        <is>
          <t>花卉图层叠加细密半调网点形成磨砂柔焦肌理，背景是粉橙绿融合水雾渐变模糊肌理，无硬边界；文字为光滑细腻胶印油墨质感，网点磨砂柔雾 + 光滑油墨文字形成虚实质感对比，适配夏日朦胧温柔氛围</t>
        </is>
      </c>
    </row>
    <row r="39" ht="25.5" customHeight="true">
      <c r="A39" t="inlineStr">
        <is>
          <t>CKT-53</t>
        </is>
      </c>
      <c r="B39" t="inlineStr">
        <is>
          <t>质感</t>
        </is>
      </c>
      <c r="C39" t="inlineStr">
        <is>
          <t>image 1636407536.png</t>
        </is>
      </c>
      <c r="D39" s="2" t="str">
        <f>=HYPERLINK("https://p9-piu.byteimg.com/tos-cn-i-8jisjyls3a/a49c8659907e41218df9526423ee2037~tplv-8jisjyls3a-3:0:0:q75.png", "https://p9-piu.byteimg.com/tos-cn-i-8jisjyls3a/a49c8659907e41218df9526423ee2037~tplv-8jisjyls3a-3:0:0:q75.png")</f>
        <v>https://p9-piu.byteimg.com/tos-cn-i-8jisjyls3a/a49c8659907e41218df9526423ee2037~tplv-8jisjyls3a-3:0:0:q75.png</v>
      </c>
      <c r="E39" t="inlineStr">
        <is>
          <t>春日清新上新、极简护肤专场、治愈生活企划、白系家装节、淡香水新品</t>
        </is>
      </c>
      <c r="F39" t="inlineStr">
        <is>
          <t>极致柔焦水雾朦胧肌理、花瓣薄软哑光纸质肌理、低饱和浅蓝柔光磨砂底色、浅绿茎秆细腻哑光植物肌理，低对比通透柔光质感</t>
        </is>
      </c>
      <c r="G39" t="inlineStr">
        <is>
          <t>静谧干净、温柔治愈、极简克制、纯净舒缓</t>
        </is>
      </c>
      <c r="H39" t="inlineStr">
        <is>
          <t>1. 前后景全部大光圈柔焦水雾虚化，极致弱化锐利边缘，舒缓视觉；2. 铃兰花瓣薄软哑光纸质细腻肌理，无反光，贴合极简纯净调性；3. 底色统一浅蓝柔光磨砂雾面，无颗粒无杂色，干净通透；4. 全画面低反光、低对比，长时间浏览视觉无压迫</t>
        </is>
      </c>
      <c r="I39" t="inlineStr">
        <is>
          <t>1. 暗黑潮牌、辣味美食、重工金属数码，极致柔和朦胧肌理完全冲突；2. 街头潮流、大促狂欢促销物料，缺少视觉冲击力；3. 复古做旧、复古工装品类，干净柔光肌理缺少岁月厚重感</t>
        </is>
      </c>
      <c r="J39" t="inlineStr">
        <is>
          <t>主体铃兰花瓣为薄软哑光细腻纸质肌理，画面前后景大光圈柔焦水雾朦胧虚化，背景统一浅蓝柔光雾面磨砂基底，全画面无高反光、无坚硬粗糙材质，通透柔和低对比柔光质感，极简干净</t>
        </is>
      </c>
    </row>
    <row r="40" ht="25.5" customHeight="true">
      <c r="A40" t="inlineStr">
        <is>
          <t>CKT-54</t>
        </is>
      </c>
      <c r="B40" t="inlineStr">
        <is>
          <t>元素</t>
        </is>
      </c>
      <c r="C40" t="inlineStr">
        <is>
          <t>image 1636407499.png</t>
        </is>
      </c>
      <c r="D40" s="2" t="str">
        <f>=HYPERLINK("https://p9-piu.byteimg.com/tos-cn-i-8jisjyls3a/06872013bc6145a4a62b26a4430e44dd~tplv-8jisjyls3a-3:0:0:q75.png", "https://p9-piu.byteimg.com/tos-cn-i-8jisjyls3a/06872013bc6145a4a62b26a4430e44dd~tplv-8jisjyls3a-3:0:0:q75.png")</f>
        <v>https://p9-piu.byteimg.com/tos-cn-i-8jisjyls3a/06872013bc6145a4a62b26a4430e44dd~tplv-8jisjyls3a-3:0:0:q75.png</v>
      </c>
      <c r="E40" t="inlineStr">
        <is>
          <t>3D 卡通 IP 主元素 + 辣味美食单品组件、火焰喷射动态符号、圆角半调文件夹载体、彩虹软管装饰配件、摇滚乐器跨界混搭元素</t>
        </is>
      </c>
      <c r="F40" t="inlineStr">
        <is>
          <t>热闹潮流、热血狂欢、趣味年轻化、火辣有活力</t>
        </is>
      </c>
      <c r="G40" t="inlineStr">
        <is>
          <t>1. 统一 IP 形象作为核心识别元素，系列物料视觉统一；2. 拆解细分单品元素（龙虾、辣酱罐、辣鸡爪、火鸡面），完整覆盖赛道产品；3. 火焰喷射动态符号统一表达 “辣、热” 概念，符号辨识度高；4. 跨界吉他潮流元素弱化美食市井感，适配年轻线上用户；5. 文件夹卡片模块化承载单品，可自由拆分复用</t>
        </is>
      </c>
      <c r="H40" t="inlineStr">
        <is>
          <t>1. 极简轻奢护肤、素雅国风茶叶、母婴辅食清淡赛道；2. 高端文艺艺术展、商务金融宣传，卡通 3D 美食元素过于喧闹；3. 冷感冰饮、清冷防晒，火焰热辣元素调性冲突</t>
        </is>
      </c>
      <c r="I40" t="inlineStr">
        <is>
          <t>核心主元素为红色圆润 3D 卡通 IP 形象，搭配黑色电吉他潮流配饰；配套标准化辣味单品元素：喷火小龙虾、火焰辣酱罐、辣卤鸡爪、火焰火鸡面；统一火焰喷射动态符号表达热辣属性，所有单品放置圆角网点文件夹模块化载体，元素可单独拆分做图标、弹窗、海报装饰</t>
        </is>
      </c>
    </row>
    <row r="41" ht="25.5" customHeight="true">
      <c r="A41" t="inlineStr">
        <is>
          <t>CKT-55</t>
        </is>
      </c>
      <c r="B41" t="inlineStr">
        <is>
          <t>元素</t>
        </is>
      </c>
      <c r="C41" t="inlineStr">
        <is>
          <t>image 1636407502.png</t>
        </is>
      </c>
      <c r="D41" s="2" t="str">
        <f>=HYPERLINK("https://p26-piu.byteimg.com/tos-cn-i-8jisjyls3a/a5fbd9a829da452bb34a553a5dea81c6~tplv-8jisjyls3a-3:0:0:q75.png", "https://p26-piu.byteimg.com/tos-cn-i-8jisjyls3a/a5fbd9a829da452bb34a553a5dea81c6~tplv-8jisjyls3a-3:0:0:q75.png")</f>
        <v>https://p26-piu.byteimg.com/tos-cn-i-8jisjyls3a/a5fbd9a829da452bb34a553a5dea81c6~tplv-8jisjyls3a-3:0:0:q75.png</v>
      </c>
      <c r="E41" t="inlineStr">
        <is>
          <t>写实 3D 美食实物主元素、渐变火焰发光下半层装饰、辣度进度条信息符号、红框工业版式装饰线条、分层梯度产品阵列元素</t>
        </is>
      </c>
      <c r="F41" t="inlineStr">
        <is>
          <t>热烈食欲、层次清晰、直观易懂、烟火热闹</t>
        </is>
      </c>
      <c r="G41" t="inlineStr">
        <is>
          <t>1. 按辣度梯度排布完整赛道核心单品（调味瓶、火鸡面、龙虾、辣椒），一套元素覆盖全品类；2. 底部火焰渐变发光层统一烘托 “热辣” 氛围，强化味觉联想；3. 底部彩色进度条符号可视化辣度分级，兼具装饰与信息功能；4. 红细外框工业线条规整版面，适合品牌规范输出</t>
        </is>
      </c>
      <c r="H41" t="inlineStr">
        <is>
          <t>1. 清冷护肤、白茶、母婴辅食、极简家居等无热辣属性品类；2. 高端奢品、国风素雅文创，重油重辣写实美食元素破坏克制质感；3. 冰饮、冷萃咖啡夏季清爽专场，火焰暖调元素冲突</t>
        </is>
      </c>
      <c r="I41" t="inlineStr">
        <is>
          <t>横向阵列式排布 4 款核心辣味美食写实 3D 元素：调味辣酱瓶、火鸡面桶、小龙虾、辣椒；每款物体下半叠加橙红渐变火焰发光装饰元素；画面底部搭配黄绿到红的辣度分级进度条符号，外围细红矩形边框作为版式装饰元素，整套元素用于品牌色卡、活动 KV、线下展板</t>
        </is>
      </c>
    </row>
    <row r="42" ht="25.5" customHeight="true">
      <c r="A42" t="inlineStr">
        <is>
          <t>CKT-56</t>
        </is>
      </c>
      <c r="B42" t="inlineStr">
        <is>
          <t>元素</t>
        </is>
      </c>
      <c r="C42" t="inlineStr">
        <is>
          <t>image 1636407522.png</t>
        </is>
      </c>
      <c r="D42" s="2" t="str">
        <f>=HYPERLINK("https://p3-piu.byteimg.com/tos-cn-i-8jisjyls3a/2af3de0873684f95975efb32a3e84b23~tplv-8jisjyls3a-3:0:0:q75.png", "https://p3-piu.byteimg.com/tos-cn-i-8jisjyls3a/2af3de0873684f95975efb32a3e84b23~tplv-8jisjyls3a-3:0:0:q75.png")</f>
        <v>https://p3-piu.byteimg.com/tos-cn-i-8jisjyls3a/2af3de0873684f95975efb32a3e84b23~tplv-8jisjyls3a-3:0:0:q75.png</v>
      </c>
      <c r="E42" t="inlineStr">
        <is>
          <t>半网点颗粒渐变水果软形元素、透明浅红盆容器元素、重叠通透圆形桃子图形、无轮廓柔化插画元素</t>
        </is>
      </c>
      <c r="F42" t="inlineStr">
        <is>
          <t>柔和清甜、朦胧治愈、清新文艺、温润松弛</t>
        </is>
      </c>
      <c r="G42" t="inlineStr">
        <is>
          <t>1. 桃子圆形软轮廓元素弱化尖锐感，贴合水果清甜柔和调性；2. 多层重叠通透图形营造丰富层次，仅靠图形叠加无需多余装饰；3. 统一半网点肌理统一所有元素，整套插画风格高度统一；4. 盆容器作为收纳载体，可成套做礼盒、包装视觉</t>
        </is>
      </c>
      <c r="H42" t="inlineStr">
        <is>
          <t>1. 辣味重口美食、街头硬核潮牌、工业数码；2. 暗黑亚文化、重工机车服饰，浅红柔和水果元素调性冲突；3. 商务政务、严肃教育宣传，圆润水果元素偏休闲低幼</t>
        </is>
      </c>
      <c r="I42" t="inlineStr">
        <is>
          <t>核心元素为多层重叠通透圆形桃子图形，搭配浅红色半网点塑料盆容器元素；所有图形无硬轮廓边缘，统一叠加红色颗粒网点渐变肌理，元素全部为柔和圆角软形，可拆分桃子单图形做图标、背景底纹、包装主视觉</t>
        </is>
      </c>
    </row>
    <row r="43" ht="25.5" customHeight="true">
      <c r="A43" t="inlineStr">
        <is>
          <t>CKT-57</t>
        </is>
      </c>
      <c r="B43" t="inlineStr">
        <is>
          <t>元素</t>
        </is>
      </c>
      <c r="C43" t="inlineStr">
        <is>
          <t>image 1636407529.png</t>
        </is>
      </c>
      <c r="D43" s="2" t="str">
        <f>=HYPERLINK("https://p9-piu.byteimg.com/tos-cn-i-8jisjyls3a/dbd32da7a1ef4b82885b096f3dcd907b~tplv-8jisjyls3a-3:0:0:q75.png", "https://p9-piu.byteimg.com/tos-cn-i-8jisjyls3a/dbd32da7a1ef4b82885b096f3dcd907b~tplv-8jisjyls3a-3:0:0:q75.png")</f>
        <v>https://p9-piu.byteimg.com/tos-cn-i-8jisjyls3a/dbd32da7a1ef4b82885b096f3dcd907b~tplv-8jisjyls3a-3:0:0:q75.png</v>
      </c>
      <c r="E43" t="inlineStr">
        <is>
          <t>粗麻手工信封载体元素、压花干花瓣 / 蕨类叶片自然植物元素、手写英文纸条文字装饰、枫树绿叶实景衬底元素、细碎彩色花片点缀元素</t>
        </is>
      </c>
      <c r="F43" t="inlineStr">
        <is>
          <t>静谧温柔、文艺治愈、自然松弛、诗意清新</t>
        </is>
      </c>
      <c r="G43" t="inlineStr">
        <is>
          <t>1. 信封作为核心载体元素，自带书信氛围感，适配春日、送礼场景；2. 干花、蕨类、枫叶多类自然植物元素组合，丰富可搭配性；3. 手写纸条小字作为轻量化装饰元素，补充文艺细节；4. 实景绿叶衬底元素可作为背景底纹，统一整套自然调性</t>
        </is>
      </c>
      <c r="H43" t="inlineStr">
        <is>
          <t>1. 辣味夜市、街头潮流、重金属数码、大促狂欢促销物料；2. 暗黑潮牌、机车工装，轻柔干花信封元素风格违和；3. 重工奢华珠宝、高端商务奢品，粗糙麻质信封元素缺少精致感</t>
        </is>
      </c>
      <c r="I43" t="inlineStr">
        <is>
          <t>主体收纳元素为粗肌理手工麻纸信封，内部填充多色压干花瓣、蕨类绿叶细碎植物元素；信封贴手写英文短句纸条装饰，外围搭配枫树鲜绿叶实景衬底元素，全套自然植物 + 书信载体元素，适合文创礼盒、春日海报、香氛包装、小红书种草配图</t>
        </is>
      </c>
    </row>
    <row r="44" ht="25.5" customHeight="true">
      <c r="A44" t="inlineStr">
        <is>
          <t>CKT-58</t>
        </is>
      </c>
      <c r="B44" t="inlineStr">
        <is>
          <t>元素</t>
        </is>
      </c>
      <c r="C44" t="inlineStr">
        <is>
          <t>image 1636407537.png</t>
        </is>
      </c>
      <c r="D44" s="2" t="str">
        <f>=HYPERLINK("https://p9-piu.byteimg.com/tos-cn-i-8jisjyls3a/7510758f3d2f4b62b583899109c2d061~tplv-8jisjyls3a-3:0:0:q75.png", "https://p9-piu.byteimg.com/tos-cn-i-8jisjyls3a/7510758f3d2f4b62b583899109c2d061~tplv-8jisjyls3a-3:0:0:q75.png")</f>
        <v>https://p9-piu.byteimg.com/tos-cn-i-8jisjyls3a/7510758f3d2f4b62b583899109c2d061~tplv-8jisjyls3a-3:0:0:q75.png</v>
      </c>
      <c r="E44" t="inlineStr">
        <is>
          <t>半透轻薄柔化花卉主元素、细密脉络花瓣细节元素、暖黄花蕊点缀元素、纯白极简空白负空间载体、低饱和粉柔渐变花瓣图形</t>
        </is>
      </c>
      <c r="F44" t="inlineStr">
        <is>
          <t>雅致温柔、轻盈高级、纯净静谧、浪漫克制</t>
        </is>
      </c>
      <c r="G44" t="inlineStr">
        <is>
          <t>1. 单层大朵花卉作为唯一核心视觉元素，极简高级不杂乱；2. 花瓣半透轻薄肌理元素，自带朦胧柔光质感，区别普通写实花卉；3. 细小花蕊作为点缀小元素，平衡大面积柔粉花瓣；4. 纯白空白载体弱化多余装饰，适配高端简约 KV</t>
        </is>
      </c>
      <c r="H44" t="inlineStr">
        <is>
          <t>1. 平价快消零食、辣味市井美食、街头亚文化潮牌；2. 童趣母婴、彩虹文创、大促热闹促销海报，极简单花卉元素缺少丰富冲击力；3. 硬核工业、机车户外、暗黑系服饰，柔薄花卉调性冲突</t>
        </is>
      </c>
      <c r="I44" t="inlineStr">
        <is>
          <t>核心主视觉元素为单朵超大半透薄粉花卉，包含带细腻脉络的柔化花瓣元素与暖黄色细碎花蕊点缀元素；无多余装饰图形，以纯白纯色空白作为承载基底，花瓣边缘做朦胧虚化处理，整套单一花卉元素极简克制，适配高端美妆、女装、艺术展主 KV、杂志刊头、产品详情头图</t>
        </is>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dc:description>﻿﻿﻿﻿​⁢﻿﻿﻿﻿﻿﻿﻿﻿﻿﻿﻿﻿﻿﻿​⁢﻿‍‌﻿⁡⁡</dc:description>
</cp:coreProperties>
</file>